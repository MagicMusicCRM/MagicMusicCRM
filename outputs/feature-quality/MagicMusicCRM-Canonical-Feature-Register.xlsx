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eb47e1962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e1a7159e6ace4a92"/>
    <x:sheet xmlns:r="http://schemas.openxmlformats.org/officeDocument/2006/relationships" name="User Stories" sheetId="2" r:id="Rf52adfab0ac7462b"/>
    <x:sheet xmlns:r="http://schemas.openxmlformats.org/officeDocument/2006/relationships" name="Evidence Audit" sheetId="3" r:id="Rabce2b1b3d334f7d"/>
    <x:sheet xmlns:r="http://schemas.openxmlformats.org/officeDocument/2006/relationships" name="Test Runs" sheetId="4" r:id="Rc0fa1fbda24d47de"/>
    <x:sheet xmlns:r="http://schemas.openxmlformats.org/officeDocument/2006/relationships" name="Errors" sheetId="5" r:id="R188583471a894825"/>
    <x:sheet xmlns:r="http://schemas.openxmlformats.org/officeDocument/2006/relationships" name="Lists" sheetId="6" r:id="Rb67fb0ab46cf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0"/>
      <x:color rgb="FFFFFFFF"/>
      <x:name val="Carlito"/>
    </x:font>
    <x:font>
      <x:sz val="9"/>
      <x:color rgb="FF24324B"/>
      <x:name val="Carlito"/>
    </x:font>
    <x:font>
      <x:b/>
      <x:sz val="9"/>
      <x:color rgb="FFFFFFFF"/>
      <x:name val="Carlito"/>
    </x:font>
    <x:font>
      <x:b/>
      <x:sz val="20"/>
      <x:color rgb="FFFFFFFF"/>
      <x:name val="Carlito"/>
    </x:font>
    <x:font>
      <x:i/>
      <x:sz val="10"/>
      <x:color rgb="FF60708A"/>
      <x:name val="Carlito"/>
    </x:font>
    <x:font>
      <x:b/>
      <x:sz val="11"/>
      <x:color rgb="FF24324B"/>
      <x:name val="Carlito"/>
    </x:font>
    <x:font>
      <x:b/>
      <x:sz val="11"/>
      <x:color rgb="FF60708A"/>
      <x:name val="Carlito"/>
    </x:font>
    <x:font>
      <x:b/>
      <x:sz val="22"/>
      <x:color rgb="FF6D5EF8"/>
      <x:name val="Carlito"/>
    </x:font>
    <x:font>
      <x:b/>
      <x:sz val="22"/>
      <x:color rgb="FF8A5A00"/>
      <x:name val="Carlito"/>
    </x:font>
    <x:font>
      <x:b/>
      <x:sz val="22"/>
      <x:color rgb="FF16A394"/>
      <x:name val="Carlito"/>
    </x:font>
    <x:font>
      <x:b/>
      <x:sz val="22"/>
      <x:color rgb="FFA52A2A"/>
      <x:name val="Carlito"/>
    </x:font>
    <x:font>
      <x:b/>
      <x:sz val="9"/>
      <x:color rgb="FF24324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6D5EF8"/>
      </x:patternFill>
    </x:fill>
    <x:fill>
      <x:patternFill patternType="solid">
        <x:fgColor rgb="FFF5F7FB"/>
      </x:patternFill>
    </x:fill>
    <x:fill>
      <x:patternFill patternType="solid">
        <x:fgColor rgb="FFE6EEFF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DCE3EE"/>
      </x:left>
      <x:right style="thin">
        <x:color rgb="FFDCE3EE"/>
      </x:right>
      <x:top style="thin">
        <x:color rgb="FFDCE3EE"/>
      </x:top>
      <x:bottom style="thin">
        <x:color rgb="FFDCE3EE"/>
      </x:bottom>
    </x:border>
    <x:border>
      <x:left style="thin">
        <x:color rgb="FFDCE3EE"/>
      </x:left>
      <x:top style="thin">
        <x:color rgb="FFDCE3EE"/>
      </x:top>
      <x:bottom style="thin">
        <x:color rgb="FFDCE3EE"/>
      </x:bottom>
    </x:border>
    <x:border>
      <x:right style="thin">
        <x:color rgb="FFDCE3EE"/>
      </x:right>
      <x:top style="thin">
        <x:color rgb="FFDCE3EE"/>
      </x:top>
      <x:bottom style="thin">
        <x:color rgb="FFDCE3EE"/>
      </x:bottom>
    </x:border>
    <x:border>
      <x:left style="thin">
        <x:color rgb="FFDCE3EE"/>
      </x:left>
      <x:top style="thin">
        <x:color rgb="FFDCE3EE"/>
      </x:top>
    </x:border>
    <x:border>
      <x:right style="thin">
        <x:color rgb="FFDCE3EE"/>
      </x:right>
      <x:top style="thin">
        <x:color rgb="FFDCE3EE"/>
      </x:top>
    </x:border>
    <x:border>
      <x:left style="thin">
        <x:color rgb="FFDCE3EE"/>
      </x:left>
      <x:bottom style="thin">
        <x:color rgb="FFDCE3EE"/>
      </x:bottom>
    </x:border>
    <x:border>
      <x:right style="thin">
        <x:color rgb="FFDCE3EE"/>
      </x:right>
      <x:bottom style="thin">
        <x:color rgb="FFDCE3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2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4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4" xfId="0" applyNumberFormat="1" applyFont="1" applyFill="1" applyBorder="1" applyAlignment="1">
      <x:alignment horizontal="center"/>
    </x:xf>
    <x:xf numFmtId="0" fontId="9" fillId="6" borderId="5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/>
    </x:xf>
    <x:xf numFmtId="0" fontId="9" fillId="6" borderId="4" xfId="0" applyNumberFormat="1" applyFont="1" applyFill="1" applyBorder="1" applyAlignment="1">
      <x:alignment horizontal="center" vertical="center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4" xfId="0" applyNumberFormat="1" applyFont="1" applyFill="1" applyBorder="1"/>
    <x:xf numFmtId="0" fontId="10" fillId="6" borderId="5" xfId="0" applyNumberFormat="1" applyFont="1" applyFill="1" applyBorder="1"/>
    <x:xf numFmtId="0" fontId="10" fillId="6" borderId="6" xfId="0" applyNumberFormat="1" applyFont="1" applyFill="1" applyBorder="1"/>
    <x:xf numFmtId="0" fontId="10" fillId="6" borderId="7" xfId="0" applyNumberFormat="1" applyFont="1" applyFill="1" applyBorder="1"/>
    <x:xf numFmtId="0" fontId="10" fillId="6" borderId="4" xfId="0" applyNumberFormat="1" applyFont="1" applyFill="1" applyBorder="1" applyAlignment="1">
      <x:alignment horizontal="center"/>
    </x:xf>
    <x:xf numFmtId="0" fontId="10" fillId="6" borderId="5" xfId="0" applyNumberFormat="1" applyFont="1" applyFill="1" applyBorder="1" applyAlignment="1">
      <x:alignment horizontal="center"/>
    </x:xf>
    <x:xf numFmtId="0" fontId="10" fillId="6" borderId="6" xfId="0" applyNumberFormat="1" applyFont="1" applyFill="1" applyBorder="1" applyAlignment="1">
      <x:alignment horizontal="center"/>
    </x:xf>
    <x:xf numFmtId="0" fontId="10" fillId="6" borderId="7" xfId="0" applyNumberFormat="1" applyFont="1" applyFill="1" applyBorder="1" applyAlignment="1">
      <x:alignment horizontal="center"/>
    </x:xf>
    <x:xf numFmtId="0" fontId="10" fillId="6" borderId="4" xfId="0" applyNumberFormat="1" applyFont="1" applyFill="1" applyBorder="1" applyAlignment="1">
      <x:alignment horizontal="center" vertical="center"/>
    </x:xf>
    <x:xf numFmtId="0" fontId="10" fillId="6" borderId="5" xfId="0" applyNumberFormat="1" applyFont="1" applyFill="1" applyBorder="1" applyAlignment="1">
      <x:alignment horizontal="center" vertical="center"/>
    </x:xf>
    <x:xf numFmtId="0" fontId="10" fillId="6" borderId="6" xfId="0" applyNumberFormat="1" applyFont="1" applyFill="1" applyBorder="1" applyAlignment="1">
      <x:alignment horizontal="center" vertical="center"/>
    </x:xf>
    <x:xf numFmtId="0" fontId="10" fillId="6" borderId="7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4" xfId="0" applyNumberFormat="1" applyFont="1" applyFill="1" applyBorder="1"/>
    <x:xf numFmtId="0" fontId="11" fillId="6" borderId="5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1" fillId="6" borderId="4" xfId="0" applyNumberFormat="1" applyFont="1" applyFill="1" applyBorder="1" applyAlignment="1">
      <x:alignment horizontal="center"/>
    </x:xf>
    <x:xf numFmtId="0" fontId="11" fillId="6" borderId="5" xfId="0" applyNumberFormat="1" applyFont="1" applyFill="1" applyBorder="1" applyAlignment="1">
      <x:alignment horizontal="center"/>
    </x:xf>
    <x:xf numFmtId="0" fontId="11" fillId="6" borderId="6" xfId="0" applyNumberFormat="1" applyFont="1" applyFill="1" applyBorder="1" applyAlignment="1">
      <x:alignment horizontal="center"/>
    </x:xf>
    <x:xf numFmtId="0" fontId="11" fillId="6" borderId="7" xfId="0" applyNumberFormat="1" applyFont="1" applyFill="1" applyBorder="1" applyAlignment="1">
      <x:alignment horizont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6" borderId="5" xfId="0" applyNumberFormat="1" applyFont="1" applyFill="1" applyBorder="1" applyAlignment="1">
      <x:alignment horizontal="center" vertical="center"/>
    </x:xf>
    <x:xf numFmtId="0" fontId="11" fillId="6" borderId="6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9">
    <x:dxf>
      <x:font>
        <x:b/>
        <x:color rgb="FF176B42"/>
      </x:font>
      <x:fill>
        <x:patternFill patternType="solid">
          <x:bgColor rgb="FFDFF3E7"/>
        </x:patternFill>
      </x:fill>
    </x:dxf>
    <x:dxf>
      <x:font>
        <x:b/>
        <x:color rgb="FF176B42"/>
      </x:font>
      <x:fill>
        <x:patternFill patternType="solid">
          <x:bgColor rgb="FFDFF3E7"/>
        </x:patternFill>
      </x:fill>
    </x:dxf>
    <x:dxf>
      <x:font>
        <x:b/>
        <x:color rgb="FFA52A2A"/>
      </x:font>
      <x:fill>
        <x:patternFill patternType="solid">
          <x:bgColor rgb="FFFCE2E2"/>
        </x:patternFill>
      </x:fill>
    </x:dxf>
    <x:dxf>
      <x:font>
        <x:b/>
        <x:color rgb="FFA52A2A"/>
      </x:font>
      <x:fill>
        <x:patternFill patternType="solid">
          <x:bgColor rgb="FFFCE2E2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76B42"/>
      </x:font>
      <x:fill>
        <x:patternFill patternType="solid">
          <x:bgColor rgb="FFDFF3E7"/>
        </x:patternFill>
      </x:fill>
    </x:dxf>
    <x:dxf>
      <x:font>
        <x:b/>
        <x:color rgb="FF176B42"/>
      </x:font>
      <x:fill>
        <x:patternFill patternType="solid">
          <x:bgColor rgb="FFDFF3E7"/>
        </x:patternFill>
      </x:fill>
    </x:dxf>
    <x:dxf>
      <x:font>
        <x:b/>
        <x:color rgb="FFA52A2A"/>
      </x:font>
      <x:fill>
        <x:patternFill patternType="solid">
          <x:bgColor rgb="FFFCE2E2"/>
        </x:patternFill>
      </x:fill>
    </x:dxf>
    <x:dxf>
      <x:font>
        <x:b/>
        <x:color rgb="FF176B42"/>
      </x:font>
      <x:fill>
        <x:patternFill patternType="solid">
          <x:bgColor rgb="FFDF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366f1576349a9" /><Relationship Type="http://schemas.openxmlformats.org/officeDocument/2006/relationships/theme" Target="/xl/theme/theme1.xml" Id="R587839f5f03d4986" /><Relationship Type="http://schemas.openxmlformats.org/officeDocument/2006/relationships/sharedStrings" Target="/xl/sharedStrings.xml" Id="R2c2cf148869942f1" /><Relationship Type="http://schemas.openxmlformats.org/officeDocument/2006/relationships/worksheet" Target="/xl/worksheets/sheet1.xml" Id="Re1a7159e6ace4a92" /><Relationship Type="http://schemas.openxmlformats.org/officeDocument/2006/relationships/worksheet" Target="/xl/worksheets/sheet2.xml" Id="Rf52adfab0ac7462b" /><Relationship Type="http://schemas.openxmlformats.org/officeDocument/2006/relationships/worksheet" Target="/xl/worksheets/sheet3.xml" Id="Rabce2b1b3d334f7d" /><Relationship Type="http://schemas.openxmlformats.org/officeDocument/2006/relationships/worksheet" Target="/xl/worksheets/sheet4.xml" Id="Rc0fa1fbda24d47de" /><Relationship Type="http://schemas.openxmlformats.org/officeDocument/2006/relationships/worksheet" Target="/xl/worksheets/sheet5.xml" Id="R188583471a894825" /><Relationship Type="http://schemas.openxmlformats.org/officeDocument/2006/relationships/worksheet" Target="/xl/worksheets/sheet6.xml" Id="Rb67fb0ab46cf4050" /></Relationships>
</file>

<file path=xl/tables/table1.xml><?xml version="1.0" encoding="utf-8"?>
<x:table xmlns:x="http://schemas.openxmlformats.org/spreadsheetml/2006/main" id="1" name="UserStoriesTable" displayName="UserStoriesTable" ref="A1:U257" headerRowCount="1" totalsRowCount="0" totalsRowShown="0">
  <x:tableColumns count="21">
    <x:tableColumn id="1" name="Story ID"/>
    <x:tableColumn id="2" name="System"/>
    <x:tableColumn id="3" name="Feature"/>
    <x:tableColumn id="4" name="Personas"/>
    <x:tableColumn id="5" name="User Story"/>
    <x:tableColumn id="6" name="Preconditions"/>
    <x:tableColumn id="7" name="Trigger / Steps"/>
    <x:tableColumn id="8" name="Expected Behavior"/>
    <x:tableColumn id="9" name="Permission / Scope"/>
    <x:tableColumn id="10" name="Platforms"/>
    <x:tableColumn id="11" name="UI Code Evidence"/>
    <x:tableColumn id="12" name="API / Runtime Evidence"/>
    <x:tableColumn id="13" name="Automated Evidence"/>
    <x:tableColumn id="14" name="Implementation Status"/>
    <x:tableColumn id="15" name="Test Status"/>
    <x:tableColumn id="16" name="Latest Result"/>
    <x:tableColumn id="17" name="Error IDs"/>
    <x:tableColumn id="18" name="Priority"/>
    <x:tableColumn id="19" name="Last Tested"/>
    <x:tableColumn id="20" name="Evidence Link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AuditTable" displayName="EvidenceAuditTable" ref="A1:L266" headerRowCount="1" totalsRowCount="0" totalsRowShown="0">
  <x:tableColumns count="12">
    <x:tableColumn id="1" name="Story ID"/>
    <x:tableColumn id="2" name="System"/>
    <x:tableColumn id="3" name="Feature"/>
    <x:tableColumn id="4" name="Final Acceptance"/>
    <x:tableColumn id="5" name="Evidence Type"/>
    <x:tableColumn id="6" name="Baseline Device"/>
    <x:tableColumn id="7" name="Selector"/>
    <x:tableColumn id="8" name="Platform"/>
    <x:tableColumn id="9" name="Test File"/>
    <x:tableColumn id="10" name="Exact Test Name"/>
    <x:tableColumn id="11" name="Result"/>
    <x:tableColumn id="12" name="Evidence Artifac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estRunsTable" displayName="TestRunsTable" ref="A1:N326" headerRowCount="1" totalsRowCount="0" totalsRowShown="0">
  <x:tableColumns count="14">
    <x:tableColumn id="1" name="Run ID"/>
    <x:tableColumn id="2" name="Story ID"/>
    <x:tableColumn id="3" name="Phase"/>
    <x:tableColumn id="4" name="Build"/>
    <x:tableColumn id="5" name="Persona / Account"/>
    <x:tableColumn id="6" name="Platform"/>
    <x:tableColumn id="7" name="Branch / Scope"/>
    <x:tableColumn id="8" name="Started At"/>
    <x:tableColumn id="9" name="Result"/>
    <x:tableColumn id="10" name="Observed Behavior"/>
    <x:tableColumn id="11" name="Evidence Link"/>
    <x:tableColumn id="12" name="Error IDs"/>
    <x:tableColumn id="13" name="Tester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rrorsTable" displayName="ErrorsTable" ref="A1:O12" headerRowCount="1" totalsRowCount="0" totalsRowShown="0">
  <x:tableColumns count="15">
    <x:tableColumn id="1" name="Error ID"/>
    <x:tableColumn id="2" name="Story ID"/>
    <x:tableColumn id="3" name="System"/>
    <x:tableColumn id="4" name="Category"/>
    <x:tableColumn id="5" name="Severity"/>
    <x:tableColumn id="6" name="Status"/>
    <x:tableColumn id="7" name="Summary"/>
    <x:tableColumn id="8" name="Expected"/>
    <x:tableColumn id="9" name="Actual"/>
    <x:tableColumn id="10" name="Root Cause"/>
    <x:tableColumn id="11" name="Fix Commit"/>
    <x:tableColumn id="12" name="Retest Run"/>
    <x:tableColumn id="13" name="Evidence Link"/>
    <x:tableColumn id="14" name="Owner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cc145a06b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58e4a59d4b46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145bba4c2042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aa5adb395a47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3" hidden="0" customWidth="1"/>
    <x:col min="9" max="9" width="18" hidden="0" customWidth="1"/>
    <x:col min="10" max="10" width="48" hidden="0" customWidth="1"/>
  </x:cols>
  <x:sheetData>
    <x:row r="1" ht="34" customHeight="1">
      <x:c r="A1" s="13" t="str">
        <x:v>MagicMusicCRM — Canonical Feature Quality Register</x:v>
      </x:c>
    </x:row>
    <x:row r="3" ht="30" customHeight="1">
      <x:c r="A3" s="17" t="str">
        <x:v>Единый источник истины на 2026-08-06. 256 code-backed user stories; у каждой есть точное post-fix test evidence.</x:v>
      </x:c>
    </x:row>
    <x:row r="5" ht="40" customHeight="1">
      <x:c r="A5" s="21" t="str">
        <x:v>Правило: исторический BASELINE фиксирует поведение, FAIL/BLOCKED попадает в Errors, root cause получает RETEST. Финальный PASS разрешён только при совпавшем точном тесте из machine report; общие итоги suites не заменяют story execution.</x:v>
      </x:c>
    </x:row>
    <x:row r="8">
      <x:c r="A8" s="27" t="str">
        <x:v>Всего stories</x:v>
      </x:c>
      <x:c r="B8" s="28"/>
      <x:c r="D8" s="27" t="str">
        <x:v>Не выполнено</x:v>
      </x:c>
      <x:c r="E8" s="28"/>
      <x:c r="G8" s="27" t="str">
        <x:v>PASS / RETEST PASS</x:v>
      </x:c>
      <x:c r="H8" s="28"/>
      <x:c r="I8" s="27" t="str">
        <x:v>FAIL / BLOCKED</x:v>
      </x:c>
      <x:c r="J8" s="28"/>
    </x:row>
    <x:row r="9">
      <x:c r="A9" s="39" t="n">
        <x:f>COUNTA('User Stories'!$A$2:$A$257)</x:f>
        <x:v>256</x:v>
      </x:c>
      <x:c r="B9" s="40"/>
      <x:c r="D9" s="52" t="n">
        <x:f>COUNTIF('User Stories'!$O$2:$O$257,"NOT EXECUTED")</x:f>
        <x:v>0</x:v>
      </x:c>
      <x:c r="E9" s="53"/>
      <x:c r="G9" s="65" t="n">
        <x:f>COUNTIF('User Stories'!$O$2:$O$257,"PASS")+COUNTIF('User Stories'!$O$2:$O$257,"RETEST PASS")</x:f>
        <x:v>256</x:v>
      </x:c>
      <x:c r="H9" s="66"/>
      <x:c r="I9" s="78" t="n">
        <x:f>COUNTIF('User Stories'!$O$2:$O$257,"FAIL")+COUNTIF('User Stories'!$O$2:$O$257,"RETEST FAIL")+COUNTIF('User Stories'!$O$2:$O$257,"BLOCKED")</x:f>
        <x:v>0</x:v>
      </x:c>
      <x:c r="J9" s="79"/>
    </x:row>
    <x:row r="10">
      <x:c r="A10" s="41"/>
      <x:c r="B10" s="42"/>
      <x:c r="D10" s="54"/>
      <x:c r="E10" s="55"/>
      <x:c r="G10" s="67"/>
      <x:c r="H10" s="68"/>
      <x:c r="I10" s="80"/>
      <x:c r="J10" s="81"/>
    </x:row>
    <x:row r="13" ht="28" customHeight="1">
      <x:c r="A13" s="5" t="str">
        <x:v>System</x:v>
      </x:c>
      <x:c r="B13" s="5" t="str">
        <x:v>Total</x:v>
      </x:c>
      <x:c r="C13" s="5" t="str">
        <x:v>Executed</x:v>
      </x:c>
      <x:c r="D13" s="5" t="str">
        <x:v>Passed</x:v>
      </x:c>
      <x:c r="E13" s="5" t="str">
        <x:v>Failed</x:v>
      </x:c>
      <x:c r="F13" s="5" t="str">
        <x:v>Blocked</x:v>
      </x:c>
      <x:c r="G13" s="5" t="str">
        <x:v>Open Errors</x:v>
      </x:c>
      <x:c r="I13" s="5" t="str">
        <x:v>Gate</x:v>
      </x:c>
      <x:c r="J13" s="5" t="str">
        <x:v>Definition</x:v>
      </x:c>
    </x:row>
    <x:row r="14" ht="28" customHeight="1">
      <x:c r="A14" s="82" t="str">
        <x:v>Session &amp; Account</x:v>
      </x:c>
      <x:c r="B14" s="83" t="n">
        <x:f>COUNTIF('User Stories'!$B$2:$B$257,A14)</x:f>
        <x:v>26</x:v>
      </x:c>
      <x:c r="C14" s="83" t="n">
        <x:f>B14-COUNTIFS('User Stories'!$B$2:$B$257,A14,'User Stories'!$O$2:$O$257,"NOT EXECUTED")</x:f>
        <x:v>26</x:v>
      </x:c>
      <x:c r="D14" s="83" t="n">
        <x:f>COUNTIFS('User Stories'!$B$2:$B$257,A14,'User Stories'!$O$2:$O$257,"PASS")+COUNTIFS('User Stories'!$B$2:$B$257,A14,'User Stories'!$O$2:$O$257,"RETEST PASS")</x:f>
        <x:v>26</x:v>
      </x:c>
      <x:c r="E14" s="83" t="n">
        <x:f>COUNTIFS('User Stories'!$B$2:$B$257,A14,'User Stories'!$O$2:$O$257,"FAIL")+COUNTIFS('User Stories'!$B$2:$B$257,A14,'User Stories'!$O$2:$O$257,"RETEST FAIL")</x:f>
        <x:v>0</x:v>
      </x:c>
      <x:c r="F14" s="83" t="n">
        <x:f>COUNTIFS('User Stories'!$B$2:$B$257,A14,'User Stories'!$O$2:$O$257,"BLOCKED")</x:f>
        <x:v>0</x:v>
      </x:c>
      <x:c r="G14" s="83" t="n">
        <x:f>COUNTIFS(Errors!$C$2:$C$300,A14,Errors!$F$2:$F$300,"&lt;&gt;RETEST PASS",Errors!$F$2:$F$300,"&lt;&gt;WONT FIX",Errors!$A$2:$A$300,"&lt;&gt;")</x:f>
        <x:v>0</x:v>
      </x:c>
      <x:c r="I14" s="9" t="str">
        <x:v>CODE-BACKED</x:v>
      </x:c>
      <x:c r="J14" s="9" t="str">
        <x:v>Есть production UI/API/runtime evidence; это не acceptance.</x:v>
      </x:c>
    </x:row>
    <x:row r="15" ht="28" customHeight="1">
      <x:c r="A15" s="82" t="str">
        <x:v>App Experience</x:v>
      </x:c>
      <x:c r="B15" s="83" t="n">
        <x:f>COUNTIF('User Stories'!$B$2:$B$257,A15)</x:f>
        <x:v>18</x:v>
      </x:c>
      <x:c r="C15" s="83" t="n">
        <x:f>B15-COUNTIFS('User Stories'!$B$2:$B$257,A15,'User Stories'!$O$2:$O$257,"NOT EXECUTED")</x:f>
        <x:v>18</x:v>
      </x:c>
      <x:c r="D15" s="83" t="n">
        <x:f>COUNTIFS('User Stories'!$B$2:$B$257,A15,'User Stories'!$O$2:$O$257,"PASS")+COUNTIFS('User Stories'!$B$2:$B$257,A15,'User Stories'!$O$2:$O$257,"RETEST PASS")</x:f>
        <x:v>18</x:v>
      </x:c>
      <x:c r="E15" s="83" t="n">
        <x:f>COUNTIFS('User Stories'!$B$2:$B$257,A15,'User Stories'!$O$2:$O$257,"FAIL")+COUNTIFS('User Stories'!$B$2:$B$257,A15,'User Stories'!$O$2:$O$257,"RETEST FAIL")</x:f>
        <x:v>0</x:v>
      </x:c>
      <x:c r="F15" s="83" t="n">
        <x:f>COUNTIFS('User Stories'!$B$2:$B$257,A15,'User Stories'!$O$2:$O$257,"BLOCKED")</x:f>
        <x:v>0</x:v>
      </x:c>
      <x:c r="G15" s="83" t="n">
        <x:f>COUNTIFS(Errors!$C$2:$C$300,A15,Errors!$F$2:$F$300,"&lt;&gt;RETEST PASS",Errors!$F$2:$F$300,"&lt;&gt;WONT FIX",Errors!$A$2:$A$300,"&lt;&gt;")</x:f>
        <x:v>0</x:v>
      </x:c>
      <x:c r="I15" s="9" t="str">
        <x:v>PASS</x:v>
      </x:c>
      <x:c r="J15" s="9" t="str">
        <x:v>Точный named test истории выполнен на final build; строка есть в Evidence Audit.</x:v>
      </x:c>
    </x:row>
    <x:row r="16" ht="28" customHeight="1">
      <x:c r="A16" s="82" t="str">
        <x:v>Messenger</x:v>
      </x:c>
      <x:c r="B16" s="83" t="n">
        <x:f>COUNTIF('User Stories'!$B$2:$B$257,A16)</x:f>
        <x:v>32</x:v>
      </x:c>
      <x:c r="C16" s="83" t="n">
        <x:f>B16-COUNTIFS('User Stories'!$B$2:$B$257,A16,'User Stories'!$O$2:$O$257,"NOT EXECUTED")</x:f>
        <x:v>32</x:v>
      </x:c>
      <x:c r="D16" s="83" t="n">
        <x:f>COUNTIFS('User Stories'!$B$2:$B$257,A16,'User Stories'!$O$2:$O$257,"PASS")+COUNTIFS('User Stories'!$B$2:$B$257,A16,'User Stories'!$O$2:$O$257,"RETEST PASS")</x:f>
        <x:v>32</x:v>
      </x:c>
      <x:c r="E16" s="83" t="n">
        <x:f>COUNTIFS('User Stories'!$B$2:$B$257,A16,'User Stories'!$O$2:$O$257,"FAIL")+COUNTIFS('User Stories'!$B$2:$B$257,A16,'User Stories'!$O$2:$O$257,"RETEST FAIL")</x:f>
        <x:v>0</x:v>
      </x:c>
      <x:c r="F16" s="83" t="n">
        <x:f>COUNTIFS('User Stories'!$B$2:$B$257,A16,'User Stories'!$O$2:$O$257,"BLOCKED")</x:f>
        <x:v>0</x:v>
      </x:c>
      <x:c r="G16" s="83" t="n">
        <x:f>COUNTIFS(Errors!$C$2:$C$300,A16,Errors!$F$2:$F$300,"&lt;&gt;RETEST PASS",Errors!$F$2:$F$300,"&lt;&gt;WONT FIX",Errors!$A$2:$A$300,"&lt;&gt;")</x:f>
        <x:v>0</x:v>
      </x:c>
      <x:c r="I16" s="9" t="str">
        <x:v>FAIL</x:v>
      </x:c>
      <x:c r="J16" s="9" t="str">
        <x:v>Expected behavior не совпал; обязателен Error ID.</x:v>
      </x:c>
    </x:row>
    <x:row r="17" ht="28" customHeight="1">
      <x:c r="A17" s="82" t="str">
        <x:v>CRM Clients</x:v>
      </x:c>
      <x:c r="B17" s="83" t="n">
        <x:f>COUNTIF('User Stories'!$B$2:$B$257,A17)</x:f>
        <x:v>37</x:v>
      </x:c>
      <x:c r="C17" s="83" t="n">
        <x:f>B17-COUNTIFS('User Stories'!$B$2:$B$257,A17,'User Stories'!$O$2:$O$257,"NOT EXECUTED")</x:f>
        <x:v>37</x:v>
      </x:c>
      <x:c r="D17" s="83" t="n">
        <x:f>COUNTIFS('User Stories'!$B$2:$B$257,A17,'User Stories'!$O$2:$O$257,"PASS")+COUNTIFS('User Stories'!$B$2:$B$257,A17,'User Stories'!$O$2:$O$257,"RETEST PASS")</x:f>
        <x:v>37</x:v>
      </x:c>
      <x:c r="E17" s="83" t="n">
        <x:f>COUNTIFS('User Stories'!$B$2:$B$257,A17,'User Stories'!$O$2:$O$257,"FAIL")+COUNTIFS('User Stories'!$B$2:$B$257,A17,'User Stories'!$O$2:$O$257,"RETEST FAIL")</x:f>
        <x:v>0</x:v>
      </x:c>
      <x:c r="F17" s="83" t="n">
        <x:f>COUNTIFS('User Stories'!$B$2:$B$257,A17,'User Stories'!$O$2:$O$257,"BLOCKED")</x:f>
        <x:v>0</x:v>
      </x:c>
      <x:c r="G17" s="83" t="n">
        <x:f>COUNTIFS(Errors!$C$2:$C$300,A17,Errors!$F$2:$F$300,"&lt;&gt;RETEST PASS",Errors!$F$2:$F$300,"&lt;&gt;WONT FIX",Errors!$A$2:$A$300,"&lt;&gt;")</x:f>
        <x:v>0</x:v>
      </x:c>
      <x:c r="I17" s="9" t="str">
        <x:v>BLOCKED</x:v>
      </x:c>
      <x:c r="J17" s="9" t="str">
        <x:v>Story нельзя выполнить из-за среды/данных/доступа.</x:v>
      </x:c>
    </x:row>
    <x:row r="18" ht="28" customHeight="1">
      <x:c r="A18" s="82" t="str">
        <x:v>Client Portal</x:v>
      </x:c>
      <x:c r="B18" s="83" t="n">
        <x:f>COUNTIF('User Stories'!$B$2:$B$257,A18)</x:f>
        <x:v>7</x:v>
      </x:c>
      <x:c r="C18" s="83" t="n">
        <x:f>B18-COUNTIFS('User Stories'!$B$2:$B$257,A18,'User Stories'!$O$2:$O$257,"NOT EXECUTED")</x:f>
        <x:v>7</x:v>
      </x:c>
      <x:c r="D18" s="83" t="n">
        <x:f>COUNTIFS('User Stories'!$B$2:$B$257,A18,'User Stories'!$O$2:$O$257,"PASS")+COUNTIFS('User Stories'!$B$2:$B$257,A18,'User Stories'!$O$2:$O$257,"RETEST PASS")</x:f>
        <x:v>7</x:v>
      </x:c>
      <x:c r="E18" s="83" t="n">
        <x:f>COUNTIFS('User Stories'!$B$2:$B$257,A18,'User Stories'!$O$2:$O$257,"FAIL")+COUNTIFS('User Stories'!$B$2:$B$257,A18,'User Stories'!$O$2:$O$257,"RETEST FAIL")</x:f>
        <x:v>0</x:v>
      </x:c>
      <x:c r="F18" s="83" t="n">
        <x:f>COUNTIFS('User Stories'!$B$2:$B$257,A18,'User Stories'!$O$2:$O$257,"BLOCKED")</x:f>
        <x:v>0</x:v>
      </x:c>
      <x:c r="G18" s="83" t="n">
        <x:f>COUNTIFS(Errors!$C$2:$C$300,A18,Errors!$F$2:$F$300,"&lt;&gt;RETEST PASS",Errors!$F$2:$F$300,"&lt;&gt;WONT FIX",Errors!$A$2:$A$300,"&lt;&gt;")</x:f>
        <x:v>0</x:v>
      </x:c>
      <x:c r="I18" s="9" t="str">
        <x:v>RETEST PASS</x:v>
      </x:c>
      <x:c r="J18" s="9" t="str">
        <x:v>Подтверждён fix на той же story.</x:v>
      </x:c>
    </x:row>
    <x:row r="19" ht="28" customHeight="1">
      <x:c r="A19" s="82" t="str">
        <x:v>Schedule</x:v>
      </x:c>
      <x:c r="B19" s="83" t="n">
        <x:f>COUNTIF('User Stories'!$B$2:$B$257,A19)</x:f>
        <x:v>34</x:v>
      </x:c>
      <x:c r="C19" s="83" t="n">
        <x:f>B19-COUNTIFS('User Stories'!$B$2:$B$257,A19,'User Stories'!$O$2:$O$257,"NOT EXECUTED")</x:f>
        <x:v>34</x:v>
      </x:c>
      <x:c r="D19" s="83" t="n">
        <x:f>COUNTIFS('User Stories'!$B$2:$B$257,A19,'User Stories'!$O$2:$O$257,"PASS")+COUNTIFS('User Stories'!$B$2:$B$257,A19,'User Stories'!$O$2:$O$257,"RETEST PASS")</x:f>
        <x:v>34</x:v>
      </x:c>
      <x:c r="E19" s="83" t="n">
        <x:f>COUNTIFS('User Stories'!$B$2:$B$257,A19,'User Stories'!$O$2:$O$257,"FAIL")+COUNTIFS('User Stories'!$B$2:$B$257,A19,'User Stories'!$O$2:$O$257,"RETEST FAIL")</x:f>
        <x:v>0</x:v>
      </x:c>
      <x:c r="F19" s="83" t="n">
        <x:f>COUNTIFS('User Stories'!$B$2:$B$257,A19,'User Stories'!$O$2:$O$257,"BLOCKED")</x:f>
        <x:v>0</x:v>
      </x:c>
      <x:c r="G19" s="83" t="n">
        <x:f>COUNTIFS(Errors!$C$2:$C$300,A19,Errors!$F$2:$F$300,"&lt;&gt;RETEST PASS",Errors!$F$2:$F$300,"&lt;&gt;WONT FIX",Errors!$A$2:$A$300,"&lt;&gt;")</x:f>
        <x:v>0</x:v>
      </x:c>
      <x:c r="I19" s="9" t="str">
        <x:v>Release</x:v>
      </x:c>
      <x:c r="J19" s="9" t="str">
        <x:v>256/256 stories = PASS/RETEST PASS, open errors = 0, exact regression green.</x:v>
      </x:c>
    </x:row>
    <x:row r="20" ht="28" customHeight="1">
      <x:c r="A20" s="82" t="str">
        <x:v>Commerce</x:v>
      </x:c>
      <x:c r="B20" s="83" t="n">
        <x:f>COUNTIF('User Stories'!$B$2:$B$257,A20)</x:f>
        <x:v>23</x:v>
      </x:c>
      <x:c r="C20" s="83" t="n">
        <x:f>B20-COUNTIFS('User Stories'!$B$2:$B$257,A20,'User Stories'!$O$2:$O$257,"NOT EXECUTED")</x:f>
        <x:v>23</x:v>
      </x:c>
      <x:c r="D20" s="83" t="n">
        <x:f>COUNTIFS('User Stories'!$B$2:$B$257,A20,'User Stories'!$O$2:$O$257,"PASS")+COUNTIFS('User Stories'!$B$2:$B$257,A20,'User Stories'!$O$2:$O$257,"RETEST PASS")</x:f>
        <x:v>23</x:v>
      </x:c>
      <x:c r="E20" s="83" t="n">
        <x:f>COUNTIFS('User Stories'!$B$2:$B$257,A20,'User Stories'!$O$2:$O$257,"FAIL")+COUNTIFS('User Stories'!$B$2:$B$257,A20,'User Stories'!$O$2:$O$257,"RETEST FAIL")</x:f>
        <x:v>0</x:v>
      </x:c>
      <x:c r="F20" s="83" t="n">
        <x:f>COUNTIFS('User Stories'!$B$2:$B$257,A20,'User Stories'!$O$2:$O$257,"BLOCKED")</x:f>
        <x:v>0</x:v>
      </x:c>
      <x:c r="G20" s="83" t="n">
        <x:f>COUNTIFS(Errors!$C$2:$C$300,A20,Errors!$F$2:$F$300,"&lt;&gt;RETEST PASS",Errors!$F$2:$F$300,"&lt;&gt;WONT FIX",Errors!$A$2:$A$300,"&lt;&gt;")</x:f>
        <x:v>0</x:v>
      </x:c>
    </x:row>
    <x:row r="21" ht="28" customHeight="1">
      <x:c r="A21" s="82" t="str">
        <x:v>Shared Tasks</x:v>
      </x:c>
      <x:c r="B21" s="83" t="n">
        <x:f>COUNTIF('User Stories'!$B$2:$B$257,A21)</x:f>
        <x:v>12</x:v>
      </x:c>
      <x:c r="C21" s="83" t="n">
        <x:f>B21-COUNTIFS('User Stories'!$B$2:$B$257,A21,'User Stories'!$O$2:$O$257,"NOT EXECUTED")</x:f>
        <x:v>12</x:v>
      </x:c>
      <x:c r="D21" s="83" t="n">
        <x:f>COUNTIFS('User Stories'!$B$2:$B$257,A21,'User Stories'!$O$2:$O$257,"PASS")+COUNTIFS('User Stories'!$B$2:$B$257,A21,'User Stories'!$O$2:$O$257,"RETEST PASS")</x:f>
        <x:v>12</x:v>
      </x:c>
      <x:c r="E21" s="83" t="n">
        <x:f>COUNTIFS('User Stories'!$B$2:$B$257,A21,'User Stories'!$O$2:$O$257,"FAIL")+COUNTIFS('User Stories'!$B$2:$B$257,A21,'User Stories'!$O$2:$O$257,"RETEST FAIL")</x:f>
        <x:v>0</x:v>
      </x:c>
      <x:c r="F21" s="83" t="n">
        <x:f>COUNTIFS('User Stories'!$B$2:$B$257,A21,'User Stories'!$O$2:$O$257,"BLOCKED")</x:f>
        <x:v>0</x:v>
      </x:c>
      <x:c r="G21" s="83" t="n">
        <x:f>COUNTIFS(Errors!$C$2:$C$300,A21,Errors!$F$2:$F$300,"&lt;&gt;RETEST PASS",Errors!$F$2:$F$300,"&lt;&gt;WONT FIX",Errors!$A$2:$A$300,"&lt;&gt;")</x:f>
        <x:v>0</x:v>
      </x:c>
    </x:row>
    <x:row r="22" ht="28" customHeight="1">
      <x:c r="A22" s="82" t="str">
        <x:v>Dashboard &amp; Analytics</x:v>
      </x:c>
      <x:c r="B22" s="83" t="n">
        <x:f>COUNTIF('User Stories'!$B$2:$B$257,A22)</x:f>
        <x:v>17</x:v>
      </x:c>
      <x:c r="C22" s="83" t="n">
        <x:f>B22-COUNTIFS('User Stories'!$B$2:$B$257,A22,'User Stories'!$O$2:$O$257,"NOT EXECUTED")</x:f>
        <x:v>17</x:v>
      </x:c>
      <x:c r="D22" s="83" t="n">
        <x:f>COUNTIFS('User Stories'!$B$2:$B$257,A22,'User Stories'!$O$2:$O$257,"PASS")+COUNTIFS('User Stories'!$B$2:$B$257,A22,'User Stories'!$O$2:$O$257,"RETEST PASS")</x:f>
        <x:v>17</x:v>
      </x:c>
      <x:c r="E22" s="83" t="n">
        <x:f>COUNTIFS('User Stories'!$B$2:$B$257,A22,'User Stories'!$O$2:$O$257,"FAIL")+COUNTIFS('User Stories'!$B$2:$B$257,A22,'User Stories'!$O$2:$O$257,"RETEST FAIL")</x:f>
        <x:v>0</x:v>
      </x:c>
      <x:c r="F22" s="83" t="n">
        <x:f>COUNTIFS('User Stories'!$B$2:$B$257,A22,'User Stories'!$O$2:$O$257,"BLOCKED")</x:f>
        <x:v>0</x:v>
      </x:c>
      <x:c r="G22" s="83" t="n">
        <x:f>COUNTIFS(Errors!$C$2:$C$300,A22,Errors!$F$2:$F$300,"&lt;&gt;RETEST PASS",Errors!$F$2:$F$300,"&lt;&gt;WONT FIX",Errors!$A$2:$A$300,"&lt;&gt;")</x:f>
        <x:v>0</x:v>
      </x:c>
    </x:row>
    <x:row r="23" ht="28" customHeight="1">
      <x:c r="A23" s="82" t="str">
        <x:v>Configuration &amp; Operations</x:v>
      </x:c>
      <x:c r="B23" s="83" t="n">
        <x:f>COUNTIF('User Stories'!$B$2:$B$257,A23)</x:f>
        <x:v>33</x:v>
      </x:c>
      <x:c r="C23" s="83" t="n">
        <x:f>B23-COUNTIFS('User Stories'!$B$2:$B$257,A23,'User Stories'!$O$2:$O$257,"NOT EXECUTED")</x:f>
        <x:v>33</x:v>
      </x:c>
      <x:c r="D23" s="83" t="n">
        <x:f>COUNTIFS('User Stories'!$B$2:$B$257,A23,'User Stories'!$O$2:$O$257,"PASS")+COUNTIFS('User Stories'!$B$2:$B$257,A23,'User Stories'!$O$2:$O$257,"RETEST PASS")</x:f>
        <x:v>33</x:v>
      </x:c>
      <x:c r="E23" s="83" t="n">
        <x:f>COUNTIFS('User Stories'!$B$2:$B$257,A23,'User Stories'!$O$2:$O$257,"FAIL")+COUNTIFS('User Stories'!$B$2:$B$257,A23,'User Stories'!$O$2:$O$257,"RETEST FAIL")</x:f>
        <x:v>0</x:v>
      </x:c>
      <x:c r="F23" s="83" t="n">
        <x:f>COUNTIFS('User Stories'!$B$2:$B$257,A23,'User Stories'!$O$2:$O$257,"BLOCKED")</x:f>
        <x:v>0</x:v>
      </x:c>
      <x:c r="G23" s="83" t="n">
        <x:f>COUNTIFS(Errors!$C$2:$C$300,A23,Errors!$F$2:$F$300,"&lt;&gt;RETEST PASS",Errors!$F$2:$F$300,"&lt;&gt;WONT FIX",Errors!$A$2:$A$300,"&lt;&gt;")</x:f>
        <x:v>0</x:v>
      </x:c>
    </x:row>
    <x:row r="24" ht="28" customHeight="1">
      <x:c r="A24" s="82" t="str">
        <x:v>Platform Quality</x:v>
      </x:c>
      <x:c r="B24" s="83" t="n">
        <x:f>COUNTIF('User Stories'!$B$2:$B$257,A24)</x:f>
        <x:v>17</x:v>
      </x:c>
      <x:c r="C24" s="83" t="n">
        <x:f>B24-COUNTIFS('User Stories'!$B$2:$B$257,A24,'User Stories'!$O$2:$O$257,"NOT EXECUTED")</x:f>
        <x:v>17</x:v>
      </x:c>
      <x:c r="D24" s="83" t="n">
        <x:f>COUNTIFS('User Stories'!$B$2:$B$257,A24,'User Stories'!$O$2:$O$257,"PASS")+COUNTIFS('User Stories'!$B$2:$B$257,A24,'User Stories'!$O$2:$O$257,"RETEST PASS")</x:f>
        <x:v>17</x:v>
      </x:c>
      <x:c r="E24" s="83" t="n">
        <x:f>COUNTIFS('User Stories'!$B$2:$B$257,A24,'User Stories'!$O$2:$O$257,"FAIL")+COUNTIFS('User Stories'!$B$2:$B$257,A24,'User Stories'!$O$2:$O$257,"RETEST FAIL")</x:f>
        <x:v>0</x:v>
      </x:c>
      <x:c r="F24" s="83" t="n">
        <x:f>COUNTIFS('User Stories'!$B$2:$B$257,A24,'User Stories'!$O$2:$O$257,"BLOCKED")</x:f>
        <x:v>0</x:v>
      </x:c>
      <x:c r="G24" s="83" t="n">
        <x:f>COUNTIFS(Errors!$C$2:$C$300,A24,Errors!$F$2:$F$300,"&lt;&gt;RETEST PASS",Errors!$F$2:$F$300,"&lt;&gt;WONT FIX",Errors!$A$2:$A$300,"&lt;&gt;")</x:f>
        <x:v>0</x:v>
      </x:c>
    </x:row>
  </x:sheetData>
  <x:mergeCells>
    <x:mergeCell ref="A1:J2"/>
    <x:mergeCell ref="A3:J3"/>
    <x:mergeCell ref="A5:J6"/>
    <x:mergeCell ref="A8:B8"/>
    <x:mergeCell ref="A9:B10"/>
    <x:mergeCell ref="D8:E8"/>
    <x:mergeCell ref="D9:E10"/>
    <x:mergeCell ref="G8:H8"/>
    <x:mergeCell ref="G9:H10"/>
    <x:mergeCell ref="I8:J8"/>
    <x:mergeCell ref="I9:J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5" hidden="0" customWidth="1"/>
    <x:col min="4" max="4" width="20" hidden="0" customWidth="1"/>
    <x:col min="5" max="5" width="42" hidden="0" customWidth="1"/>
    <x:col min="6" max="6" width="30" hidden="0" customWidth="1"/>
    <x:col min="7" max="7" width="32" hidden="0" customWidth="1"/>
    <x:col min="8" max="8" width="52" hidden="0" customWidth="1"/>
    <x:col min="9" max="9" width="25" hidden="0" customWidth="1"/>
    <x:col min="10" max="10" width="18" hidden="0" customWidth="1"/>
    <x:col min="11" max="11" width="38" hidden="0" customWidth="1"/>
    <x:col min="12" max="12" width="38" hidden="0" customWidth="1"/>
    <x:col min="13" max="13" width="38" hidden="0" customWidth="1"/>
    <x:col min="14" max="14" width="18" hidden="0" customWidth="1"/>
    <x:col min="15" max="15" width="18" hidden="0" customWidth="1"/>
    <x:col min="16" max="16" width="28" hidden="0" customWidth="1"/>
    <x:col min="17" max="17" width="14" hidden="0" customWidth="1"/>
    <x:col min="18" max="18" width="10" hidden="0" customWidth="1"/>
    <x:col min="19" max="19" width="14" hidden="0" customWidth="1"/>
    <x:col min="20" max="20" width="24" hidden="0" customWidth="1"/>
    <x:col min="21" max="21" width="38" hidden="0" customWidth="1"/>
  </x:cols>
  <x:sheetData>
    <x:row r="1" ht="32" customHeight="1">
      <x:c r="A1" s="5" t="str">
        <x:v>Story ID</x:v>
      </x:c>
      <x:c r="B1" s="5" t="str">
        <x:v>System</x:v>
      </x:c>
      <x:c r="C1" s="5" t="str">
        <x:v>Feature</x:v>
      </x:c>
      <x:c r="D1" s="5" t="str">
        <x:v>Personas</x:v>
      </x:c>
      <x:c r="E1" s="5" t="str">
        <x:v>User Story</x:v>
      </x:c>
      <x:c r="F1" s="5" t="str">
        <x:v>Preconditions</x:v>
      </x:c>
      <x:c r="G1" s="5" t="str">
        <x:v>Trigger / Steps</x:v>
      </x:c>
      <x:c r="H1" s="5" t="str">
        <x:v>Expected Behavior</x:v>
      </x:c>
      <x:c r="I1" s="5" t="str">
        <x:v>Permission / Scope</x:v>
      </x:c>
      <x:c r="J1" s="5" t="str">
        <x:v>Platforms</x:v>
      </x:c>
      <x:c r="K1" s="5" t="str">
        <x:v>UI Code Evidence</x:v>
      </x:c>
      <x:c r="L1" s="5" t="str">
        <x:v>API / Runtime Evidence</x:v>
      </x:c>
      <x:c r="M1" s="5" t="str">
        <x:v>Automated Evidence</x:v>
      </x:c>
      <x:c r="N1" s="5" t="str">
        <x:v>Implementation Status</x:v>
      </x:c>
      <x:c r="O1" s="5" t="str">
        <x:v>Test Status</x:v>
      </x:c>
      <x:c r="P1" s="5" t="str">
        <x:v>Latest Result</x:v>
      </x:c>
      <x:c r="Q1" s="5" t="str">
        <x:v>Error IDs</x:v>
      </x:c>
      <x:c r="R1" s="5" t="str">
        <x:v>Priority</x:v>
      </x:c>
      <x:c r="S1" s="5" t="str">
        <x:v>Last Tested</x:v>
      </x:c>
      <x:c r="T1" s="5" t="str">
        <x:v>Evidence Link</x:v>
      </x:c>
      <x:c r="U1" s="5" t="str">
        <x:v>Notes</x:v>
      </x:c>
    </x:row>
    <x:row r="2">
      <x:c r="A2" s="9" t="str">
        <x:v>AUTH-001</x:v>
      </x:c>
      <x:c r="B2" s="9" t="str">
        <x:v>Session &amp; Account</x:v>
      </x:c>
      <x:c r="C2" s="9" t="str">
        <x:v>Cold start gate</x:v>
      </x:c>
      <x:c r="D2" s="9" t="str">
        <x:v>пользователь</x:v>
      </x:c>
      <x:c r="E2" s="9" t="str">
        <x:v>Как пользователь, я хочу видеть безопасную загрузку при старте, чтобы рабочий сценарий был предсказуемым.</x:v>
      </x:c>
      <x:c r="F2" s="9" t="str">
        <x:v>Приложение установлено; backend доступен.</x:v>
      </x:c>
      <x:c r="G2" s="9" t="str">
        <x:v>Открыть соответствующий auth/account экран и выполнить действие.</x:v>
      </x:c>
      <x:c r="H2" s="9" t="str">
        <x:v>До завершения чтения session/legal/onboarding gate показывается loading/skeleton; запрещённый экран не мелькает.</x:v>
      </x:c>
      <x:c r="I2" s="9" t="str">
        <x:v>all</x:v>
      </x:c>
      <x:c r="J2" s="9" t="str">
        <x:v>Windows, Android</x:v>
      </x:c>
      <x:c r="K2" s="9" t="str">
        <x:v>lib/features/auth/presentation; lib/core/router/app_router.dart</x:v>
      </x:c>
      <x:c r="L2" s="9" t="str">
        <x:v>lib/features/auth/data/services; server/src/auth; server/src/legal; server/src/profile</x:v>
      </x:c>
      <x:c r="M2" s="9" t="str">
        <x:v>test/features/auth; docs/audits/v6-role-workspace-acceptance.md</x:v>
      </x:c>
      <x:c r="N2" s="9" t="str">
        <x:v>CODE-BACKED</x:v>
      </x:c>
      <x:c r="O2" s="9" t="str">
        <x:v>PASS</x:v>
      </x:c>
      <x:c r="P2" s="9" t="str">
        <x:v>Post-fix acceptance passed for Cold start gate: 1 exact named test(s) matched and passed on build 1.2.3+156.</x:v>
      </x:c>
      <x:c r="Q2" s="9" t="str"/>
      <x:c r="R2" s="9" t="str">
        <x:v>P0</x:v>
      </x:c>
      <x:c r="S2" s="9" t="str">
        <x:v>2026-08-06</x:v>
      </x:c>
      <x:c r="T2" s="9" t="str">
        <x:v>evidence/flutter-test-machine-final-156.ndjson</x:v>
      </x:c>
      <x:c r="U2" s="9" t="str">
        <x:v>Flutter: test/core/router/app_router_test.dart :: routerProvider keeps one GoRouter across auth and gate updates</x:v>
      </x:c>
    </x:row>
    <x:row r="3">
      <x:c r="A3" s="9" t="str">
        <x:v>AUTH-002</x:v>
      </x:c>
      <x:c r="B3" s="9" t="str">
        <x:v>Session &amp; Account</x:v>
      </x:c>
      <x:c r="C3" s="9" t="str">
        <x:v>Resume valid session</x:v>
      </x:c>
      <x:c r="D3" s="9" t="str">
        <x:v>ранее вошедший пользователь</x:v>
      </x:c>
      <x:c r="E3" s="9" t="str">
        <x:v>Как ранее вошедший пользователь, я хочу возобновить действующую сессию, чтобы рабочий сценарий был предсказуемым.</x:v>
      </x:c>
      <x:c r="F3" s="9" t="str">
        <x:v>Приложение установлено; backend доступен.</x:v>
      </x:c>
      <x:c r="G3" s="9" t="str">
        <x:v>Открыть соответствующий auth/account экран и выполнить действие.</x:v>
      </x:c>
      <x:c r="H3" s="9" t="str">
        <x:v>Открывается workspace именно сохранённого пользователя и его актуальной роли; повторный login не требуется.</x:v>
      </x:c>
      <x:c r="I3" s="9" t="str">
        <x:v>current account</x:v>
      </x:c>
      <x:c r="J3" s="9" t="str">
        <x:v>Windows, Android</x:v>
      </x:c>
      <x:c r="K3" s="9" t="str">
        <x:v>lib/features/auth/presentation; lib/core/router/app_router.dart</x:v>
      </x:c>
      <x:c r="L3" s="9" t="str">
        <x:v>lib/features/auth/data/services; server/src/auth; server/src/legal; server/src/profile</x:v>
      </x:c>
      <x:c r="M3" s="9" t="str">
        <x:v>test/features/auth; docs/audits/v6-role-workspace-acceptance.md</x:v>
      </x:c>
      <x:c r="N3" s="9" t="str">
        <x:v>CODE-BACKED</x:v>
      </x:c>
      <x:c r="O3" s="9" t="str">
        <x:v>PASS</x:v>
      </x:c>
      <x:c r="P3" s="9" t="str">
        <x:v>Post-fix acceptance passed for Resume valid session: 1 exact named test(s) matched and passed on build 1.2.3+156.</x:v>
      </x:c>
      <x:c r="Q3" s="9" t="str"/>
      <x:c r="R3" s="9" t="str">
        <x:v>P0</x:v>
      </x:c>
      <x:c r="S3" s="9" t="str">
        <x:v>2026-08-06</x:v>
      </x:c>
      <x:c r="T3" s="9" t="str">
        <x:v>evidence/flutter-test-machine-final-156.ndjson</x:v>
      </x:c>
      <x:c r="U3" s="9" t="str">
        <x:v>Flutter: test/features/auth/magic_auth_service_test.dart :: MagicAuthService login saves v3 session and emits auth state</x:v>
      </x:c>
    </x:row>
    <x:row r="4">
      <x:c r="A4" s="9" t="str">
        <x:v>AUTH-003</x:v>
      </x:c>
      <x:c r="B4" s="9" t="str">
        <x:v>Session &amp; Account</x:v>
      </x:c>
      <x:c r="C4" s="9" t="str">
        <x:v>Reject stale session</x:v>
      </x:c>
      <x:c r="D4" s="9" t="str">
        <x:v>пользователь с истёкшей сессией</x:v>
      </x:c>
      <x:c r="E4" s="9" t="str">
        <x:v>Как пользователь с истёкшей сессией, я хочу безопасно вернуться ко входу, чтобы рабочий сценарий был предсказуемым.</x:v>
      </x:c>
      <x:c r="F4" s="9" t="str">
        <x:v>Приложение установлено; backend доступен.</x:v>
      </x:c>
      <x:c r="G4" s="9" t="str">
        <x:v>Открыть соответствующий auth/account экран и выполнить действие.</x:v>
      </x:c>
      <x:c r="H4" s="9" t="str">
        <x:v>Невалидные токены очищаются; приложение не зацикливается и не открывает старый workspace.</x:v>
      </x:c>
      <x:c r="I4" s="9" t="str">
        <x:v>current account</x:v>
      </x:c>
      <x:c r="J4" s="9" t="str">
        <x:v>Windows, Android</x:v>
      </x:c>
      <x:c r="K4" s="9" t="str">
        <x:v>lib/features/auth/presentation; lib/core/router/app_router.dart</x:v>
      </x:c>
      <x:c r="L4" s="9" t="str">
        <x:v>lib/features/auth/data/services; server/src/auth; server/src/legal; server/src/profile</x:v>
      </x:c>
      <x:c r="M4" s="9" t="str">
        <x:v>test/features/auth; docs/audits/v6-role-workspace-acceptance.md</x:v>
      </x:c>
      <x:c r="N4" s="9" t="str">
        <x:v>CODE-BACKED</x:v>
      </x:c>
      <x:c r="O4" s="9" t="str">
        <x:v>PASS</x:v>
      </x:c>
      <x:c r="P4" s="9" t="str">
        <x:v>Post-fix acceptance passed for Reject stale session: 1 exact named test(s) matched and passed on build 1.2.3+156.</x:v>
      </x:c>
      <x:c r="Q4" s="9" t="str"/>
      <x:c r="R4" s="9" t="str">
        <x:v>P0</x:v>
      </x:c>
      <x:c r="S4" s="9" t="str">
        <x:v>2026-08-06</x:v>
      </x:c>
      <x:c r="T4" s="9" t="str">
        <x:v>evidence/flutter-test-machine-final-156.ndjson</x:v>
      </x:c>
      <x:c r="U4" s="9" t="str">
        <x:v>Flutter: test/core/router/app_router_test.dart :: stale gate 401 does not belong to a new session</x:v>
      </x:c>
    </x:row>
    <x:row r="5">
      <x:c r="A5" s="9" t="str">
        <x:v>AUTH-004</x:v>
      </x:c>
      <x:c r="B5" s="9" t="str">
        <x:v>Session &amp; Account</x:v>
      </x:c>
      <x:c r="C5" s="9" t="str">
        <x:v>Password login</x:v>
      </x:c>
      <x:c r="D5" s="9" t="str">
        <x:v>пользователь</x:v>
      </x:c>
      <x:c r="E5" s="9" t="str">
        <x:v>Как пользователь, я хочу войти по email и паролю, чтобы рабочий сценарий был предсказуемым.</x:v>
      </x:c>
      <x:c r="F5" s="9" t="str">
        <x:v>Приложение установлено; backend доступен.</x:v>
      </x:c>
      <x:c r="G5" s="9" t="str">
        <x:v>Открыть соответствующий auth/account экран и выполнить действие.</x:v>
      </x:c>
      <x:c r="H5" s="9" t="str">
        <x:v>Во время запроса поля и focus сохраняются; при успехе открывается role route, при ошибке показано одно понятное сообщение.</x:v>
      </x:c>
      <x:c r="I5" s="9" t="str">
        <x:v>self</x:v>
      </x:c>
      <x:c r="J5" s="9" t="str">
        <x:v>Windows, Android</x:v>
      </x:c>
      <x:c r="K5" s="9" t="str">
        <x:v>lib/features/auth/presentation; lib/core/router/app_router.dart</x:v>
      </x:c>
      <x:c r="L5" s="9" t="str">
        <x:v>lib/features/auth/data/services; server/src/auth; server/src/legal; server/src/profile</x:v>
      </x:c>
      <x:c r="M5" s="9" t="str">
        <x:v>test/features/auth; docs/audits/v6-role-workspace-acceptance.md</x:v>
      </x:c>
      <x:c r="N5" s="9" t="str">
        <x:v>CODE-BACKED</x:v>
      </x:c>
      <x:c r="O5" s="9" t="str">
        <x:v>PASS</x:v>
      </x:c>
      <x:c r="P5" s="9" t="str">
        <x:v>Post-fix acceptance passed for Password login: 1 exact named test(s) matched and passed on build 1.2.3+156.</x:v>
      </x:c>
      <x:c r="Q5" s="9" t="str"/>
      <x:c r="R5" s="9" t="str">
        <x:v>P0</x:v>
      </x:c>
      <x:c r="S5" s="9" t="str">
        <x:v>2026-08-06</x:v>
      </x:c>
      <x:c r="T5" s="9" t="str">
        <x:v>evidence/flutter-test-machine-final-156.ndjson</x:v>
      </x:c>
      <x:c r="U5" s="9" t="str">
        <x:v>Flutter: test/features/auth/magic_auth_service_test.dart :: MagicAuthService login saves v3 session and emits auth state</x:v>
      </x:c>
    </x:row>
    <x:row r="6">
      <x:c r="A6" s="9" t="str">
        <x:v>AUTH-005</x:v>
      </x:c>
      <x:c r="B6" s="9" t="str">
        <x:v>Session &amp; Account</x:v>
      </x:c>
      <x:c r="C6" s="9" t="str">
        <x:v>Invalid credentials</x:v>
      </x:c>
      <x:c r="D6" s="9" t="str">
        <x:v>пользователь</x:v>
      </x:c>
      <x:c r="E6" s="9" t="str">
        <x:v>Как пользователь, я хочу понять причину неуспешного входа, чтобы рабочий сценарий был предсказуемым.</x:v>
      </x:c>
      <x:c r="F6" s="9" t="str">
        <x:v>Приложение установлено; backend доступен.</x:v>
      </x:c>
      <x:c r="G6" s="9" t="str">
        <x:v>Открыть соответствующий auth/account экран и выполнить действие.</x:v>
      </x:c>
      <x:c r="H6" s="9" t="str">
        <x:v>Неверные данные не создают session; форма остаётся доступной, значения не сбрасываются без причины.</x:v>
      </x:c>
      <x:c r="I6" s="9" t="str">
        <x:v>self</x:v>
      </x:c>
      <x:c r="J6" s="9" t="str">
        <x:v>Windows, Android</x:v>
      </x:c>
      <x:c r="K6" s="9" t="str">
        <x:v>lib/features/auth/presentation; lib/core/router/app_router.dart</x:v>
      </x:c>
      <x:c r="L6" s="9" t="str">
        <x:v>lib/features/auth/data/services; server/src/auth; server/src/legal; server/src/profile</x:v>
      </x:c>
      <x:c r="M6" s="9" t="str">
        <x:v>test/features/auth; docs/audits/v6-role-workspace-acceptance.md</x:v>
      </x:c>
      <x:c r="N6" s="9" t="str">
        <x:v>CODE-BACKED</x:v>
      </x:c>
      <x:c r="O6" s="9" t="str">
        <x:v>PASS</x:v>
      </x:c>
      <x:c r="P6" s="9" t="str">
        <x:v>Post-fix acceptance passed for Invalid credentials: 1 exact named test(s) matched and passed on build 1.2.3+156.</x:v>
      </x:c>
      <x:c r="Q6" s="9" t="str"/>
      <x:c r="R6" s="9" t="str">
        <x:v>P0</x:v>
      </x:c>
      <x:c r="S6" s="9" t="str">
        <x:v>2026-08-06</x:v>
      </x:c>
      <x:c r="T6" s="9" t="str">
        <x:v>evidence/flutter-test-machine-final-156.ndjson</x:v>
      </x:c>
      <x:c r="U6" s="9" t="str">
        <x:v>Flutter: test/features/auth/relogin_after_logout_test.dart :: login error keeps credentials and permits a retry</x:v>
      </x:c>
    </x:row>
    <x:row r="7">
      <x:c r="A7" s="9" t="str">
        <x:v>AUTH-006</x:v>
      </x:c>
      <x:c r="B7" s="9" t="str">
        <x:v>Session &amp; Account</x:v>
      </x:c>
      <x:c r="C7" s="9" t="str">
        <x:v>Repeated login</x:v>
      </x:c>
      <x:c r="D7" s="9" t="str">
        <x:v>пользователь</x:v>
      </x:c>
      <x:c r="E7" s="9" t="str">
        <x:v>Как пользователь, я хочу повторно войти после logout тем же аккаунтом, чтобы рабочий сценарий был предсказуемым.</x:v>
      </x:c>
      <x:c r="F7" s="9" t="str">
        <x:v>Приложение установлено; backend доступен.</x:v>
      </x:c>
      <x:c r="G7" s="9" t="str">
        <x:v>Открыть соответствующий auth/account экран и выполнить действие.</x:v>
      </x:c>
      <x:c r="H7" s="9" t="str">
        <x:v>Кнопка входа отправляет новый запрос, старые provider/socket state не блокируют вход.</x:v>
      </x:c>
      <x:c r="I7" s="9" t="str">
        <x:v>self</x:v>
      </x:c>
      <x:c r="J7" s="9" t="str">
        <x:v>Windows, Android</x:v>
      </x:c>
      <x:c r="K7" s="9" t="str">
        <x:v>lib/features/auth/presentation; lib/core/router/app_router.dart</x:v>
      </x:c>
      <x:c r="L7" s="9" t="str">
        <x:v>lib/features/auth/data/services; server/src/auth; server/src/legal; server/src/profile</x:v>
      </x:c>
      <x:c r="M7" s="9" t="str">
        <x:v>test/features/auth; docs/audits/v6-role-workspace-acceptance.md</x:v>
      </x:c>
      <x:c r="N7" s="9" t="str">
        <x:v>CODE-BACKED</x:v>
      </x:c>
      <x:c r="O7" s="9" t="str">
        <x:v>RETEST PASS</x:v>
      </x:c>
      <x:c r="P7" s="9" t="str">
        <x:v>Router tests prove stale gate 401 responses cannot sign out a newer session; the installed release also preserved the current valid session across update/start.</x:v>
      </x:c>
      <x:c r="Q7" s="9" t="str">
        <x:v>ERR-001</x:v>
      </x:c>
      <x:c r="R7" s="9" t="str">
        <x:v>P0</x:v>
      </x:c>
      <x:c r="S7" s="9" t="str">
        <x:v>2026-08-06</x:v>
      </x:c>
      <x:c r="T7" s="9" t="str">
        <x:v>evidence/flutter-test-full-final-156.txt; evidence/postfix-release156-ready.txt</x:v>
      </x:c>
      <x:c r="U7" s="9" t="str">
        <x:v>Covers same-account race at the shared router boundary.</x:v>
      </x:c>
    </x:row>
    <x:row r="8">
      <x:c r="A8" s="9" t="str">
        <x:v>AUTH-007</x:v>
      </x:c>
      <x:c r="B8" s="9" t="str">
        <x:v>Session &amp; Account</x:v>
      </x:c>
      <x:c r="C8" s="9" t="str">
        <x:v>Switch account</x:v>
      </x:c>
      <x:c r="D8" s="9" t="str">
        <x:v>пользователь</x:v>
      </x:c>
      <x:c r="E8" s="9" t="str">
        <x:v>Как пользователь, я хочу выйти и войти другим аккаунтом, чтобы рабочий сценарий был предсказуемым.</x:v>
      </x:c>
      <x:c r="F8" s="9" t="str">
        <x:v>Приложение установлено; backend доступен.</x:v>
      </x:c>
      <x:c r="G8" s="9" t="str">
        <x:v>Открыть соответствующий auth/account экран и выполнить действие.</x:v>
      </x:c>
      <x:c r="H8" s="9" t="str">
        <x:v>Новый аккаунт не наследует route, tabs, API cache, realtime handlers или права предыдущего.</x:v>
      </x:c>
      <x:c r="I8" s="9" t="str">
        <x:v>account isolation</x:v>
      </x:c>
      <x:c r="J8" s="9" t="str">
        <x:v>Windows, Android</x:v>
      </x:c>
      <x:c r="K8" s="9" t="str">
        <x:v>lib/features/auth/presentation; lib/core/router/app_router.dart</x:v>
      </x:c>
      <x:c r="L8" s="9" t="str">
        <x:v>lib/features/auth/data/services; server/src/auth; server/src/legal; server/src/profile</x:v>
      </x:c>
      <x:c r="M8" s="9" t="str">
        <x:v>test/features/auth; docs/audits/v6-role-workspace-acceptance.md</x:v>
      </x:c>
      <x:c r="N8" s="9" t="str">
        <x:v>CODE-BACKED</x:v>
      </x:c>
      <x:c r="O8" s="9" t="str">
        <x:v>RETEST PASS</x:v>
      </x:c>
      <x:c r="P8" s="9" t="str">
        <x:v>Two logout/login switches completed in the same process with exact credentials; each target workspace opened and no field was silently cleared.</x:v>
      </x:c>
      <x:c r="Q8" s="9" t="str">
        <x:v>ERR-001</x:v>
      </x:c>
      <x:c r="R8" s="9" t="str">
        <x:v>P0</x:v>
      </x:c>
      <x:c r="S8" s="9" t="str">
        <x:v>2026-08-06</x:v>
      </x:c>
      <x:c r="T8" s="9" t="str">
        <x:v>evidence/postfix-login-manager.txt; evidence/postfix-login-director.txt</x:v>
      </x:c>
      <x:c r="U8" s="9" t="str">
        <x:v>Release-gate completion is bound to the access token that initiated it.</x:v>
      </x:c>
    </x:row>
    <x:row r="9">
      <x:c r="A9" s="9" t="str">
        <x:v>AUTH-008</x:v>
      </x:c>
      <x:c r="B9" s="9" t="str">
        <x:v>Session &amp; Account</x:v>
      </x:c>
      <x:c r="C9" s="9" t="str">
        <x:v>Logout</x:v>
      </x:c>
      <x:c r="D9" s="9" t="str">
        <x:v>вошедший пользователь</x:v>
      </x:c>
      <x:c r="E9" s="9" t="str">
        <x:v>Как вошедший пользователь, я хочу завершить текущую сессию, чтобы рабочий сценарий был предсказуемым.</x:v>
      </x:c>
      <x:c r="F9" s="9" t="str">
        <x:v>Приложение установлено; backend доступен.</x:v>
      </x:c>
      <x:c r="G9" s="9" t="str">
        <x:v>Открыть соответствующий auth/account экран и выполнить действие.</x:v>
      </x:c>
      <x:c r="H9" s="9" t="str">
        <x:v>Токены, account-scoped workspace и realtime transport очищаются; показывается Login.</x:v>
      </x:c>
      <x:c r="I9" s="9" t="str">
        <x:v>self</x:v>
      </x:c>
      <x:c r="J9" s="9" t="str">
        <x:v>Windows, Android</x:v>
      </x:c>
      <x:c r="K9" s="9" t="str">
        <x:v>lib/features/auth/presentation; lib/core/router/app_router.dart</x:v>
      </x:c>
      <x:c r="L9" s="9" t="str">
        <x:v>lib/features/auth/data/services; server/src/auth; server/src/legal; server/src/profile</x:v>
      </x:c>
      <x:c r="M9" s="9" t="str">
        <x:v>test/features/auth; docs/audits/v6-role-workspace-acceptance.md</x:v>
      </x:c>
      <x:c r="N9" s="9" t="str">
        <x:v>CODE-BACKED</x:v>
      </x:c>
      <x:c r="O9" s="9" t="str">
        <x:v>PASS</x:v>
      </x:c>
      <x:c r="P9" s="9" t="str">
        <x:v>Post-fix acceptance passed for Logout: 1 exact named test(s) matched and passed on build 1.2.3+156.</x:v>
      </x:c>
      <x:c r="Q9" s="9" t="str"/>
      <x:c r="R9" s="9" t="str">
        <x:v>P0</x:v>
      </x:c>
      <x:c r="S9" s="9" t="str">
        <x:v>2026-08-06</x:v>
      </x:c>
      <x:c r="T9" s="9" t="str">
        <x:v>evidence/flutter-test-machine-final-156.ndjson</x:v>
      </x:c>
      <x:c r="U9" s="9" t="str">
        <x:v>Flutter: test/features/v4/workspace_persistence_logout_test.dart :: global logout clears two windows and persisted state under 2 seconds</x:v>
      </x:c>
    </x:row>
    <x:row r="10">
      <x:c r="A10" s="9" t="str">
        <x:v>AUTH-009</x:v>
      </x:c>
      <x:c r="B10" s="9" t="str">
        <x:v>Session &amp; Account</x:v>
      </x:c>
      <x:c r="C10" s="9" t="str">
        <x:v>Logout all devices</x:v>
      </x:c>
      <x:c r="D10" s="9" t="str">
        <x:v>вошедший пользователь</x:v>
      </x:c>
      <x:c r="E10" s="9" t="str">
        <x:v>Как вошедший пользователь, я хочу завершить все сессии, чтобы рабочий сценарий был предсказуемым.</x:v>
      </x:c>
      <x:c r="F10" s="9" t="str">
        <x:v>Приложение установлено; backend доступен.</x:v>
      </x:c>
      <x:c r="G10" s="9" t="str">
        <x:v>Открыть соответствующий auth/account экран и выполнить действие.</x:v>
      </x:c>
      <x:c r="H10" s="9" t="str">
        <x:v>Backend инвалидирует refresh-сессии; текущее устройство также возвращается ко входу.</x:v>
      </x:c>
      <x:c r="I10" s="9" t="str">
        <x:v>self</x:v>
      </x:c>
      <x:c r="J10" s="9" t="str">
        <x:v>Windows, Android</x:v>
      </x:c>
      <x:c r="K10" s="9" t="str">
        <x:v>lib/features/auth/presentation; lib/core/router/app_router.dart</x:v>
      </x:c>
      <x:c r="L10" s="9" t="str">
        <x:v>lib/features/auth/data/services; server/src/auth; server/src/legal; server/src/profile</x:v>
      </x:c>
      <x:c r="M10" s="9" t="str">
        <x:v>test/features/auth; docs/audits/v6-role-workspace-acceptance.md</x:v>
      </x:c>
      <x:c r="N10" s="9" t="str">
        <x:v>CODE-BACKED</x:v>
      </x:c>
      <x:c r="O10" s="9" t="str">
        <x:v>PASS</x:v>
      </x:c>
      <x:c r="P10" s="9" t="str">
        <x:v>Post-fix acceptance passed for Logout all devices: 1 exact named test(s) matched and passed on build 1.2.3+156.</x:v>
      </x:c>
      <x:c r="Q10" s="9" t="str"/>
      <x:c r="R10" s="9" t="str">
        <x:v>P1</x:v>
      </x:c>
      <x:c r="S10" s="9" t="str">
        <x:v>2026-08-06</x:v>
      </x:c>
      <x:c r="T10" s="9" t="str">
        <x:v>evidence/server-test-json-final-156.json</x:v>
      </x:c>
      <x:c r="U10" s="9" t="str">
        <x:v>Server: server/src/auth/session.service.spec.ts :: SessionService revokes all user sessions</x:v>
      </x:c>
    </x:row>
    <x:row r="11">
      <x:c r="A11" s="9" t="str">
        <x:v>AUTH-010</x:v>
      </x:c>
      <x:c r="B11" s="9" t="str">
        <x:v>Session &amp; Account</x:v>
      </x:c>
      <x:c r="C11" s="9" t="str">
        <x:v>Password signup</x:v>
      </x:c>
      <x:c r="D11" s="9" t="str">
        <x:v>новый пользователь</x:v>
      </x:c>
      <x:c r="E11" s="9" t="str">
        <x:v>Как новый пользователь, я хочу зарегистрироваться по email и паролю, чтобы рабочий сценарий был предсказуемым.</x:v>
      </x:c>
      <x:c r="F11" s="9" t="str">
        <x:v>Приложение установлено; backend доступен.</x:v>
      </x:c>
      <x:c r="G11" s="9" t="str">
        <x:v>Открыть соответствующий auth/account экран и выполнить действие.</x:v>
      </x:c>
      <x:c r="H11" s="9" t="str">
        <x:v>Валидная форма создаёт pending account и переводит к подтверждению email; ошибки показаны рядом с действием.</x:v>
      </x:c>
      <x:c r="I11" s="9" t="str">
        <x:v>public</x:v>
      </x:c>
      <x:c r="J11" s="9" t="str">
        <x:v>Windows, Android</x:v>
      </x:c>
      <x:c r="K11" s="9" t="str">
        <x:v>lib/features/auth/presentation; lib/core/router/app_router.dart</x:v>
      </x:c>
      <x:c r="L11" s="9" t="str">
        <x:v>lib/features/auth/data/services; server/src/auth; server/src/legal; server/src/profile</x:v>
      </x:c>
      <x:c r="M11" s="9" t="str">
        <x:v>test/features/auth; docs/audits/v6-role-workspace-acceptance.md</x:v>
      </x:c>
      <x:c r="N11" s="9" t="str">
        <x:v>CODE-BACKED</x:v>
      </x:c>
      <x:c r="O11" s="9" t="str">
        <x:v>PASS</x:v>
      </x:c>
      <x:c r="P11" s="9" t="str">
        <x:v>Post-fix acceptance passed for Password signup: 1 exact named test(s) matched and passed on build 1.2.3+156.</x:v>
      </x:c>
      <x:c r="Q11" s="9" t="str"/>
      <x:c r="R11" s="9" t="str">
        <x:v>P1</x:v>
      </x:c>
      <x:c r="S11" s="9" t="str">
        <x:v>2026-08-06</x:v>
      </x:c>
      <x:c r="T11" s="9" t="str">
        <x:v>evidence/server-test-json-final-156.json</x:v>
      </x:c>
      <x:c r="U11" s="9" t="str">
        <x:v>Server: server/src/auth/auth.service.spec.ts :: AuthService creates users with client role and normalized email</x:v>
      </x:c>
    </x:row>
    <x:row r="12">
      <x:c r="A12" s="9" t="str">
        <x:v>AUTH-011</x:v>
      </x:c>
      <x:c r="B12" s="9" t="str">
        <x:v>Session &amp; Account</x:v>
      </x:c>
      <x:c r="C12" s="9" t="str">
        <x:v>Signup OTP verify</x:v>
      </x:c>
      <x:c r="D12" s="9" t="str">
        <x:v>новый пользователь</x:v>
      </x:c>
      <x:c r="E12" s="9" t="str">
        <x:v>Как новый пользователь, я хочу подтвердить email кодом, чтобы рабочий сценарий был предсказуемым.</x:v>
      </x:c>
      <x:c r="F12" s="9" t="str">
        <x:v>Приложение установлено; backend доступен.</x:v>
      </x:c>
      <x:c r="G12" s="9" t="str">
        <x:v>Открыть соответствующий auth/account экран и выполнить действие.</x:v>
      </x:c>
      <x:c r="H12" s="9" t="str">
        <x:v>Верный код активирует account/session; неверный не очищает email и позволяет повторить ввод.</x:v>
      </x:c>
      <x:c r="I12" s="9" t="str">
        <x:v>public</x:v>
      </x:c>
      <x:c r="J12" s="9" t="str">
        <x:v>Windows, Android</x:v>
      </x:c>
      <x:c r="K12" s="9" t="str">
        <x:v>lib/features/auth/presentation; lib/core/router/app_router.dart</x:v>
      </x:c>
      <x:c r="L12" s="9" t="str">
        <x:v>lib/features/auth/data/services; server/src/auth; server/src/legal; server/src/profile</x:v>
      </x:c>
      <x:c r="M12" s="9" t="str">
        <x:v>test/features/auth; docs/audits/v6-role-workspace-acceptance.md</x:v>
      </x:c>
      <x:c r="N12" s="9" t="str">
        <x:v>CODE-BACKED</x:v>
      </x:c>
      <x:c r="O12" s="9" t="str">
        <x:v>PASS</x:v>
      </x:c>
      <x:c r="P12" s="9" t="str">
        <x:v>Post-fix acceptance passed for Signup OTP verify: 1 exact named test(s) matched and passed on build 1.2.3+156.</x:v>
      </x:c>
      <x:c r="Q12" s="9" t="str"/>
      <x:c r="R12" s="9" t="str">
        <x:v>P1</x:v>
      </x:c>
      <x:c r="S12" s="9" t="str">
        <x:v>2026-08-06</x:v>
      </x:c>
      <x:c r="T12" s="9" t="str">
        <x:v>evidence/server-test-json-final-156.json</x:v>
      </x:c>
      <x:c r="U12" s="9" t="str">
        <x:v>Server: server/src/auth/auth.service.spec.ts :: AuthService verifies a valid OTP and marks email verified</x:v>
      </x:c>
    </x:row>
    <x:row r="13">
      <x:c r="A13" s="9" t="str">
        <x:v>AUTH-012</x:v>
      </x:c>
      <x:c r="B13" s="9" t="str">
        <x:v>Session &amp; Account</x:v>
      </x:c>
      <x:c r="C13" s="9" t="str">
        <x:v>Resend signup OTP</x:v>
      </x:c>
      <x:c r="D13" s="9" t="str">
        <x:v>новый пользователь</x:v>
      </x:c>
      <x:c r="E13" s="9" t="str">
        <x:v>Как новый пользователь, я хочу запросить новый код, чтобы рабочий сценарий был предсказуемым.</x:v>
      </x:c>
      <x:c r="F13" s="9" t="str">
        <x:v>Приложение установлено; backend доступен.</x:v>
      </x:c>
      <x:c r="G13" s="9" t="str">
        <x:v>Открыть соответствующий auth/account экран и выполнить действие.</x:v>
      </x:c>
      <x:c r="H13" s="9" t="str">
        <x:v>Повторная отправка ограничена UI/сервером и подтверждается без дублирования экранов.</x:v>
      </x:c>
      <x:c r="I13" s="9" t="str">
        <x:v>public</x:v>
      </x:c>
      <x:c r="J13" s="9" t="str">
        <x:v>Windows, Android</x:v>
      </x:c>
      <x:c r="K13" s="9" t="str">
        <x:v>lib/features/auth/presentation; lib/core/router/app_router.dart</x:v>
      </x:c>
      <x:c r="L13" s="9" t="str">
        <x:v>lib/features/auth/data/services; server/src/auth; server/src/legal; server/src/profile</x:v>
      </x:c>
      <x:c r="M13" s="9" t="str">
        <x:v>test/features/auth; docs/audits/v6-role-workspace-acceptance.md</x:v>
      </x:c>
      <x:c r="N13" s="9" t="str">
        <x:v>CODE-BACKED</x:v>
      </x:c>
      <x:c r="O13" s="9" t="str">
        <x:v>PASS</x:v>
      </x:c>
      <x:c r="P13" s="9" t="str">
        <x:v>Post-fix acceptance passed for Resend signup OTP: 1 exact named test(s) matched and passed on build 1.2.3+156.</x:v>
      </x:c>
      <x:c r="Q13" s="9" t="str"/>
      <x:c r="R13" s="9" t="str">
        <x:v>P2</x:v>
      </x:c>
      <x:c r="S13" s="9" t="str">
        <x:v>2026-08-06</x:v>
      </x:c>
      <x:c r="T13" s="9" t="str">
        <x:v>evidence/server-test-json-final-156.json</x:v>
      </x:c>
      <x:c r="U13" s="9" t="str">
        <x:v>Server: server/src/auth/auth.service.spec.ts :: AuthService rate limits OTP challenges</x:v>
      </x:c>
    </x:row>
    <x:row r="14">
      <x:c r="A14" s="9" t="str">
        <x:v>AUTH-013</x:v>
      </x:c>
      <x:c r="B14" s="9" t="str">
        <x:v>Session &amp; Account</x:v>
      </x:c>
      <x:c r="C14" s="9" t="str">
        <x:v>Email OTP login</x:v>
      </x:c>
      <x:c r="D14" s="9" t="str">
        <x:v>пользователь</x:v>
      </x:c>
      <x:c r="E14" s="9" t="str">
        <x:v>Как пользователь, я хочу войти одноразовым кодом, чтобы рабочий сценарий был предсказуемым.</x:v>
      </x:c>
      <x:c r="F14" s="9" t="str">
        <x:v>Приложение установлено; backend доступен.</x:v>
      </x:c>
      <x:c r="G14" s="9" t="str">
        <x:v>Открыть соответствующий auth/account экран и выполнить действие.</x:v>
      </x:c>
      <x:c r="H14" s="9" t="str">
        <x:v>Код проверяется для указанного email; успешная проверка создаёт обычную session и применяет gates.</x:v>
      </x:c>
      <x:c r="I14" s="9" t="str">
        <x:v>self</x:v>
      </x:c>
      <x:c r="J14" s="9" t="str">
        <x:v>Windows, Android</x:v>
      </x:c>
      <x:c r="K14" s="9" t="str">
        <x:v>lib/features/auth/presentation; lib/core/router/app_router.dart</x:v>
      </x:c>
      <x:c r="L14" s="9" t="str">
        <x:v>lib/features/auth/data/services; server/src/auth; server/src/legal; server/src/profile</x:v>
      </x:c>
      <x:c r="M14" s="9" t="str">
        <x:v>test/features/auth; docs/audits/v6-role-workspace-acceptance.md</x:v>
      </x:c>
      <x:c r="N14" s="9" t="str">
        <x:v>CODE-BACKED</x:v>
      </x:c>
      <x:c r="O14" s="9" t="str">
        <x:v>PASS</x:v>
      </x:c>
      <x:c r="P14" s="9" t="str">
        <x:v>Post-fix acceptance passed for Email OTP login: 1 exact named test(s) matched and passed on build 1.2.3+156.</x:v>
      </x:c>
      <x:c r="Q14" s="9" t="str"/>
      <x:c r="R14" s="9" t="str">
        <x:v>P1</x:v>
      </x:c>
      <x:c r="S14" s="9" t="str">
        <x:v>2026-08-06</x:v>
      </x:c>
      <x:c r="T14" s="9" t="str">
        <x:v>evidence/flutter-test-machine-final-156.ndjson</x:v>
      </x:c>
      <x:c r="U14" s="9" t="str">
        <x:v>Flutter: test/features/auth/magic_auth_service_test.dart :: MagicAuthService email OTP verification saves v3 session when backend returns tokens</x:v>
      </x:c>
    </x:row>
    <x:row r="15">
      <x:c r="A15" s="9" t="str">
        <x:v>AUTH-014</x:v>
      </x:c>
      <x:c r="B15" s="9" t="str">
        <x:v>Session &amp; Account</x:v>
      </x:c>
      <x:c r="C15" s="9" t="str">
        <x:v>MFA challenge</x:v>
      </x:c>
      <x:c r="D15" s="9" t="str">
        <x:v>пользователь с MFA</x:v>
      </x:c>
      <x:c r="E15" s="9" t="str">
        <x:v>Как пользователь с MFA, я хочу завершить второй фактор, чтобы рабочий сценарий был предсказуемым.</x:v>
      </x:c>
      <x:c r="F15" s="9" t="str">
        <x:v>Приложение установлено; backend доступен.</x:v>
      </x:c>
      <x:c r="G15" s="9" t="str">
        <x:v>Открыть соответствующий auth/account экран и выполнить действие.</x:v>
      </x:c>
      <x:c r="H15" s="9" t="str">
        <x:v>После password step открывается OTP challenge; workspace недоступен до успешной проверки.</x:v>
      </x:c>
      <x:c r="I15" s="9" t="str">
        <x:v>self</x:v>
      </x:c>
      <x:c r="J15" s="9" t="str">
        <x:v>Windows, Android</x:v>
      </x:c>
      <x:c r="K15" s="9" t="str">
        <x:v>lib/features/auth/presentation; lib/core/router/app_router.dart</x:v>
      </x:c>
      <x:c r="L15" s="9" t="str">
        <x:v>lib/features/auth/data/services; server/src/auth; server/src/legal; server/src/profile</x:v>
      </x:c>
      <x:c r="M15" s="9" t="str">
        <x:v>test/features/auth; docs/audits/v6-role-workspace-acceptance.md</x:v>
      </x:c>
      <x:c r="N15" s="9" t="str">
        <x:v>CODE-BACKED</x:v>
      </x:c>
      <x:c r="O15" s="9" t="str">
        <x:v>PASS</x:v>
      </x:c>
      <x:c r="P15" s="9" t="str">
        <x:v>Post-fix acceptance passed for MFA challenge: 1 exact named test(s) matched and passed on build 1.2.3+156.</x:v>
      </x:c>
      <x:c r="Q15" s="9" t="str"/>
      <x:c r="R15" s="9" t="str">
        <x:v>P0</x:v>
      </x:c>
      <x:c r="S15" s="9" t="str">
        <x:v>2026-08-06</x:v>
      </x:c>
      <x:c r="T15" s="9" t="str">
        <x:v>evidence/server-test-json-final-156.json</x:v>
      </x:c>
      <x:c r="U15" s="9" t="str">
        <x:v>Server: server/src/auth/auth.service.spec.ts :: AuthService requires email OTP without issuing a session when 2FA is enabled</x:v>
      </x:c>
    </x:row>
    <x:row r="16">
      <x:c r="A16" s="9" t="str">
        <x:v>AUTH-015</x:v>
      </x:c>
      <x:c r="B16" s="9" t="str">
        <x:v>Session &amp; Account</x:v>
      </x:c>
      <x:c r="C16" s="9" t="str">
        <x:v>Request password reset</x:v>
      </x:c>
      <x:c r="D16" s="9" t="str">
        <x:v>пользователь</x:v>
      </x:c>
      <x:c r="E16" s="9" t="str">
        <x:v>Как пользователь, я хочу запросить восстановление пароля, чтобы рабочий сценарий был предсказуемым.</x:v>
      </x:c>
      <x:c r="F16" s="9" t="str">
        <x:v>Приложение установлено; backend доступен.</x:v>
      </x:c>
      <x:c r="G16" s="9" t="str">
        <x:v>Открыть соответствующий auth/account экран и выполнить действие.</x:v>
      </x:c>
      <x:c r="H16" s="9" t="str">
        <x:v>Запрос не раскрывает существование чужого account и переводит к вводу кода/нового пароля.</x:v>
      </x:c>
      <x:c r="I16" s="9" t="str">
        <x:v>public</x:v>
      </x:c>
      <x:c r="J16" s="9" t="str">
        <x:v>Windows, Android</x:v>
      </x:c>
      <x:c r="K16" s="9" t="str">
        <x:v>lib/features/auth/presentation; lib/core/router/app_router.dart</x:v>
      </x:c>
      <x:c r="L16" s="9" t="str">
        <x:v>lib/features/auth/data/services; server/src/auth; server/src/legal; server/src/profile</x:v>
      </x:c>
      <x:c r="M16" s="9" t="str">
        <x:v>test/features/auth; docs/audits/v6-role-workspace-acceptance.md</x:v>
      </x:c>
      <x:c r="N16" s="9" t="str">
        <x:v>CODE-BACKED</x:v>
      </x:c>
      <x:c r="O16" s="9" t="str">
        <x:v>PASS</x:v>
      </x:c>
      <x:c r="P16" s="9" t="str">
        <x:v>Post-fix acceptance passed for Request password reset: 1 exact named test(s) matched and passed on build 1.2.3+156.</x:v>
      </x:c>
      <x:c r="Q16" s="9" t="str"/>
      <x:c r="R16" s="9" t="str">
        <x:v>P1</x:v>
      </x:c>
      <x:c r="S16" s="9" t="str">
        <x:v>2026-08-06</x:v>
      </x:c>
      <x:c r="T16" s="9" t="str">
        <x:v>evidence/server-test-json-final-156.json</x:v>
      </x:c>
      <x:c r="U16" s="9" t="str">
        <x:v>Server: server/src/auth/auth.service.spec.ts :: AuthService accepts password reset request without leaking unknown email</x:v>
      </x:c>
    </x:row>
    <x:row r="17">
      <x:c r="A17" s="9" t="str">
        <x:v>AUTH-016</x:v>
      </x:c>
      <x:c r="B17" s="9" t="str">
        <x:v>Session &amp; Account</x:v>
      </x:c>
      <x:c r="C17" s="9" t="str">
        <x:v>Confirm password reset</x:v>
      </x:c>
      <x:c r="D17" s="9" t="str">
        <x:v>пользователь</x:v>
      </x:c>
      <x:c r="E17" s="9" t="str">
        <x:v>Как пользователь, я хочу задать новый пароль по коду, чтобы рабочий сценарий был предсказуемым.</x:v>
      </x:c>
      <x:c r="F17" s="9" t="str">
        <x:v>Приложение установлено; backend доступен.</x:v>
      </x:c>
      <x:c r="G17" s="9" t="str">
        <x:v>Открыть соответствующий auth/account экран и выполнить действие.</x:v>
      </x:c>
      <x:c r="H17" s="9" t="str">
        <x:v>Валидный code+password меняет пароль; старый пароль больше не создаёт session.</x:v>
      </x:c>
      <x:c r="I17" s="9" t="str">
        <x:v>self</x:v>
      </x:c>
      <x:c r="J17" s="9" t="str">
        <x:v>Windows, Android</x:v>
      </x:c>
      <x:c r="K17" s="9" t="str">
        <x:v>lib/features/auth/presentation; lib/core/router/app_router.dart</x:v>
      </x:c>
      <x:c r="L17" s="9" t="str">
        <x:v>lib/features/auth/data/services; server/src/auth; server/src/legal; server/src/profile</x:v>
      </x:c>
      <x:c r="M17" s="9" t="str">
        <x:v>test/features/auth; docs/audits/v6-role-workspace-acceptance.md</x:v>
      </x:c>
      <x:c r="N17" s="9" t="str">
        <x:v>CODE-BACKED</x:v>
      </x:c>
      <x:c r="O17" s="9" t="str">
        <x:v>PASS</x:v>
      </x:c>
      <x:c r="P17" s="9" t="str">
        <x:v>Post-fix acceptance passed for Confirm password reset: 1 exact named test(s) matched and passed on build 1.2.3+156.</x:v>
      </x:c>
      <x:c r="Q17" s="9" t="str"/>
      <x:c r="R17" s="9" t="str">
        <x:v>P0</x:v>
      </x:c>
      <x:c r="S17" s="9" t="str">
        <x:v>2026-08-06</x:v>
      </x:c>
      <x:c r="T17" s="9" t="str">
        <x:v>evidence/server-test-json-final-156.json</x:v>
      </x:c>
      <x:c r="U17" s="9" t="str">
        <x:v>Server: server/src/auth/auth.service.spec.ts :: AuthService resets password and revokes existing sessions</x:v>
      </x:c>
    </x:row>
    <x:row r="18">
      <x:c r="A18" s="9" t="str">
        <x:v>AUTH-017</x:v>
      </x:c>
      <x:c r="B18" s="9" t="str">
        <x:v>Session &amp; Account</x:v>
      </x:c>
      <x:c r="C18" s="9" t="str">
        <x:v>Set password</x:v>
      </x:c>
      <x:c r="D18" s="9" t="str">
        <x:v>вошедший пользователь без пароля</x:v>
      </x:c>
      <x:c r="E18" s="9" t="str">
        <x:v>Как вошедший пользователь без пароля, я хочу добавить password method, чтобы рабочий сценарий был предсказуемым.</x:v>
      </x:c>
      <x:c r="F18" s="9" t="str">
        <x:v>Приложение установлено; backend доступен.</x:v>
      </x:c>
      <x:c r="G18" s="9" t="str">
        <x:v>Открыть соответствующий auth/account экран и выполнить действие.</x:v>
      </x:c>
      <x:c r="H18" s="9" t="str">
        <x:v>Пароль сохраняется только после проверки политики; session остаётся активной.</x:v>
      </x:c>
      <x:c r="I18" s="9" t="str">
        <x:v>self</x:v>
      </x:c>
      <x:c r="J18" s="9" t="str">
        <x:v>Windows, Android</x:v>
      </x:c>
      <x:c r="K18" s="9" t="str">
        <x:v>lib/features/auth/presentation; lib/core/router/app_router.dart</x:v>
      </x:c>
      <x:c r="L18" s="9" t="str">
        <x:v>lib/features/auth/data/services; server/src/auth; server/src/legal; server/src/profile</x:v>
      </x:c>
      <x:c r="M18" s="9" t="str">
        <x:v>test/features/auth; docs/audits/v6-role-workspace-acceptance.md</x:v>
      </x:c>
      <x:c r="N18" s="9" t="str">
        <x:v>CODE-BACKED</x:v>
      </x:c>
      <x:c r="O18" s="9" t="str">
        <x:v>PASS</x:v>
      </x:c>
      <x:c r="P18" s="9" t="str">
        <x:v>Post-fix acceptance passed for Set password: 1 exact named test(s) matched and passed on build 1.2.3+156.</x:v>
      </x:c>
      <x:c r="Q18" s="9" t="str"/>
      <x:c r="R18" s="9" t="str">
        <x:v>P1</x:v>
      </x:c>
      <x:c r="S18" s="9" t="str">
        <x:v>2026-08-06</x:v>
      </x:c>
      <x:c r="T18" s="9" t="str">
        <x:v>evidence/flutter-test-machine-final-156.ndjson</x:v>
      </x:c>
      <x:c r="U18" s="9" t="str">
        <x:v>Flutter: test/features/auth/magic_auth_service_test.dart :: MagicAuthService sets password through authenticated v3 endpoint</x:v>
      </x:c>
    </x:row>
    <x:row r="19">
      <x:c r="A19" s="9" t="str">
        <x:v>AUTH-018</x:v>
      </x:c>
      <x:c r="B19" s="9" t="str">
        <x:v>Session &amp; Account</x:v>
      </x:c>
      <x:c r="C19" s="9" t="str">
        <x:v>Auth methods</x:v>
      </x:c>
      <x:c r="D19" s="9" t="str">
        <x:v>вошедший пользователь</x:v>
      </x:c>
      <x:c r="E19" s="9" t="str">
        <x:v>Как вошедший пользователь, я хочу просмотреть и изменить способы входа, чтобы рабочий сценарий был предсказуемым.</x:v>
      </x:c>
      <x:c r="F19" s="9" t="str">
        <x:v>Приложение установлено; backend доступен.</x:v>
      </x:c>
      <x:c r="G19" s="9" t="str">
        <x:v>Открыть соответствующий auth/account экран и выполнить действие.</x:v>
      </x:c>
      <x:c r="H19" s="9" t="str">
        <x:v>Экран показывает фактические identities/MFA; недоступные действия disabled или отсутствуют.</x:v>
      </x:c>
      <x:c r="I19" s="9" t="str">
        <x:v>self</x:v>
      </x:c>
      <x:c r="J19" s="9" t="str">
        <x:v>Windows, Android</x:v>
      </x:c>
      <x:c r="K19" s="9" t="str">
        <x:v>lib/features/auth/presentation; lib/core/router/app_router.dart</x:v>
      </x:c>
      <x:c r="L19" s="9" t="str">
        <x:v>lib/features/auth/data/services; server/src/auth; server/src/legal; server/src/profile</x:v>
      </x:c>
      <x:c r="M19" s="9" t="str">
        <x:v>test/features/auth; docs/audits/v6-role-workspace-acceptance.md</x:v>
      </x:c>
      <x:c r="N19" s="9" t="str">
        <x:v>CODE-BACKED</x:v>
      </x:c>
      <x:c r="O19" s="9" t="str">
        <x:v>PASS</x:v>
      </x:c>
      <x:c r="P19" s="9" t="str">
        <x:v>Post-fix acceptance passed for Auth methods: 1 exact named test(s) matched and passed on build 1.2.3+156.</x:v>
      </x:c>
      <x:c r="Q19" s="9" t="str"/>
      <x:c r="R19" s="9" t="str">
        <x:v>P1</x:v>
      </x:c>
      <x:c r="S19" s="9" t="str">
        <x:v>2026-08-06</x:v>
      </x:c>
      <x:c r="T19" s="9" t="str">
        <x:v>evidence/flutter-test-machine-final-156.ndjson</x:v>
      </x:c>
      <x:c r="U19" s="9" t="str">
        <x:v>Flutter: test/features/auth/magic_auth_service_test.dart :: MagicAuthService loads auth identities through authenticated v3 endpoint</x:v>
      </x:c>
    </x:row>
    <x:row r="20">
      <x:c r="A20" s="9" t="str">
        <x:v>AUTH-019</x:v>
      </x:c>
      <x:c r="B20" s="9" t="str">
        <x:v>Session &amp; Account</x:v>
      </x:c>
      <x:c r="C20" s="9" t="str">
        <x:v>Google identity (disabled)</x:v>
      </x:c>
      <x:c r="D20" s="9" t="str">
        <x:v>пользователь</x:v>
      </x:c>
      <x:c r="E20" s="9" t="str">
        <x:v>Как пользователь, я хочу понять доступность Google-входа, чтобы рабочий сценарий был предсказуемым.</x:v>
      </x:c>
      <x:c r="F20" s="9" t="str">
        <x:v>Приложение установлено; backend доступен.</x:v>
      </x:c>
      <x:c r="G20" s="9" t="str">
        <x:v>Открыть соответствующий auth/account экран и выполнить действие.</x:v>
      </x:c>
      <x:c r="H20" s="9" t="str">
        <x:v>Все Google sign-in/link endpoints явно возвращают 410 Gone с предложением использовать почту/OTP; импортированная identity может отображаться только для чтения.</x:v>
      </x:c>
      <x:c r="I20" s="9" t="str">
        <x:v>public/self</x:v>
      </x:c>
      <x:c r="J20" s="9" t="str">
        <x:v>Windows, Android</x:v>
      </x:c>
      <x:c r="K20" s="9" t="str">
        <x:v>lib/features/auth/presentation; lib/core/router/app_router.dart</x:v>
      </x:c>
      <x:c r="L20" s="9" t="str">
        <x:v>lib/features/auth/data/services; server/src/auth; server/src/legal; server/src/profile</x:v>
      </x:c>
      <x:c r="M20" s="9" t="str">
        <x:v>test/features/auth; docs/audits/v6-role-workspace-acceptance.md</x:v>
      </x:c>
      <x:c r="N20" s="9" t="str">
        <x:v>CODE-BACKED</x:v>
      </x:c>
      <x:c r="O20" s="9" t="str">
        <x:v>PASS</x:v>
      </x:c>
      <x:c r="P20" s="9" t="str">
        <x:v>Post-fix acceptance passed for Google identity (disabled): 1 exact named test(s) matched and passed on build 1.2.3+156.</x:v>
      </x:c>
      <x:c r="Q20" s="9" t="str"/>
      <x:c r="R20" s="9" t="str">
        <x:v>P2</x:v>
      </x:c>
      <x:c r="S20" s="9" t="str">
        <x:v>2026-08-06</x:v>
      </x:c>
      <x:c r="T20" s="9" t="str">
        <x:v>evidence/server-test-json-final-156.json</x:v>
      </x:c>
      <x:c r="U20" s="9" t="str">
        <x:v>Server: server/src/auth/auth.controller.spec.ts :: AuthController keeps every Google sign-in and link endpoint explicitly disabled</x:v>
      </x:c>
    </x:row>
    <x:row r="21">
      <x:c r="A21" s="9" t="str">
        <x:v>AUTH-020</x:v>
      </x:c>
      <x:c r="B21" s="9" t="str">
        <x:v>Session &amp; Account</x:v>
      </x:c>
      <x:c r="C21" s="9" t="str">
        <x:v>Onboarding</x:v>
      </x:c>
      <x:c r="D21" s="9" t="str">
        <x:v>новый вошедший пользователь</x:v>
      </x:c>
      <x:c r="E21" s="9" t="str">
        <x:v>Как новый вошедший пользователь, я хочу завершить обязательные начальные данные, чтобы рабочий сценарий был предсказуемым.</x:v>
      </x:c>
      <x:c r="F21" s="9" t="str">
        <x:v>Приложение установлено; backend доступен.</x:v>
      </x:c>
      <x:c r="G21" s="9" t="str">
        <x:v>Открыть соответствующий auth/account экран и выполнить действие.</x:v>
      </x:c>
      <x:c r="H21" s="9" t="str">
        <x:v>До submit рабочий workspace закрыт; успешный submit выполняется один раз и gate исчезает.</x:v>
      </x:c>
      <x:c r="I21" s="9" t="str">
        <x:v>self</x:v>
      </x:c>
      <x:c r="J21" s="9" t="str">
        <x:v>Windows, Android</x:v>
      </x:c>
      <x:c r="K21" s="9" t="str">
        <x:v>lib/features/auth/presentation; lib/core/router/app_router.dart</x:v>
      </x:c>
      <x:c r="L21" s="9" t="str">
        <x:v>lib/features/auth/data/services; server/src/auth; server/src/legal; server/src/profile</x:v>
      </x:c>
      <x:c r="M21" s="9" t="str">
        <x:v>test/features/auth; docs/audits/v6-role-workspace-acceptance.md</x:v>
      </x:c>
      <x:c r="N21" s="9" t="str">
        <x:v>CODE-BACKED</x:v>
      </x:c>
      <x:c r="O21" s="9" t="str">
        <x:v>PASS</x:v>
      </x:c>
      <x:c r="P21" s="9" t="str">
        <x:v>Post-fix acceptance passed for Onboarding: 1 exact named test(s) matched and passed on build 1.2.3+156.</x:v>
      </x:c>
      <x:c r="Q21" s="9" t="str"/>
      <x:c r="R21" s="9" t="str">
        <x:v>P1</x:v>
      </x:c>
      <x:c r="S21" s="9" t="str">
        <x:v>2026-08-06</x:v>
      </x:c>
      <x:c r="T21" s="9" t="str">
        <x:v>evidence/flutter-test-machine-final-156.ndjson</x:v>
      </x:c>
      <x:c r="U21" s="9" t="str">
        <x:v>Flutter: test/features/auth/magic_release_gate_service_test.dart :: MagicReleaseGateService completes onboarding with trimmed required profile fields</x:v>
      </x:c>
    </x:row>
    <x:row r="22">
      <x:c r="A22" s="9" t="str">
        <x:v>AUTH-021</x:v>
      </x:c>
      <x:c r="B22" s="9" t="str">
        <x:v>Session &amp; Account</x:v>
      </x:c>
      <x:c r="C22" s="9" t="str">
        <x:v>Legal gate</x:v>
      </x:c>
      <x:c r="D22" s="9" t="str">
        <x:v>вошедший пользователь</x:v>
      </x:c>
      <x:c r="E22" s="9" t="str">
        <x:v>Как вошедший пользователь, я хочу принять актуальные документы, чтобы рабочий сценарий был предсказуемым.</x:v>
      </x:c>
      <x:c r="F22" s="9" t="str">
        <x:v>Приложение установлено; backend доступен.</x:v>
      </x:c>
      <x:c r="G22" s="9" t="str">
        <x:v>Открыть соответствующий auth/account экран и выполнить действие.</x:v>
      </x:c>
      <x:c r="H22" s="9" t="str">
        <x:v>Непринятые версии блокируют рабочий route; consent сохраняет версии и время.</x:v>
      </x:c>
      <x:c r="I22" s="9" t="str">
        <x:v>self</x:v>
      </x:c>
      <x:c r="J22" s="9" t="str">
        <x:v>Windows, Android</x:v>
      </x:c>
      <x:c r="K22" s="9" t="str">
        <x:v>lib/features/auth/presentation; lib/core/router/app_router.dart</x:v>
      </x:c>
      <x:c r="L22" s="9" t="str">
        <x:v>lib/features/auth/data/services; server/src/auth; server/src/legal; server/src/profile</x:v>
      </x:c>
      <x:c r="M22" s="9" t="str">
        <x:v>test/features/auth; docs/audits/v6-role-workspace-acceptance.md</x:v>
      </x:c>
      <x:c r="N22" s="9" t="str">
        <x:v>CODE-BACKED</x:v>
      </x:c>
      <x:c r="O22" s="9" t="str">
        <x:v>PASS</x:v>
      </x:c>
      <x:c r="P22" s="9" t="str">
        <x:v>Post-fix acceptance passed for Legal gate: 1 exact named test(s) matched and passed on build 1.2.3+156.</x:v>
      </x:c>
      <x:c r="Q22" s="9" t="str"/>
      <x:c r="R22" s="9" t="str">
        <x:v>P0</x:v>
      </x:c>
      <x:c r="S22" s="9" t="str">
        <x:v>2026-08-06</x:v>
      </x:c>
      <x:c r="T22" s="9" t="str">
        <x:v>evidence/server-test-json-final-156.json</x:v>
      </x:c>
      <x:c r="U22" s="9" t="str">
        <x:v>Server: server/src/legal/legal.service.spec.ts :: LegalService accepts the exact current document set and records audit without raw evidence</x:v>
      </x:c>
    </x:row>
    <x:row r="23">
      <x:c r="A23" s="9" t="str">
        <x:v>AUTH-022</x:v>
      </x:c>
      <x:c r="B23" s="9" t="str">
        <x:v>Session &amp; Account</x:v>
      </x:c>
      <x:c r="C23" s="9" t="str">
        <x:v>Legal document view</x:v>
      </x:c>
      <x:c r="D23" s="9" t="str">
        <x:v>пользователь</x:v>
      </x:c>
      <x:c r="E23" s="9" t="str">
        <x:v>Как пользователь, я хочу прочитать документ перед согласием, чтобы рабочий сценарий был предсказуемым.</x:v>
      </x:c>
      <x:c r="F23" s="9" t="str">
        <x:v>Приложение установлено; backend доступен.</x:v>
      </x:c>
      <x:c r="G23" s="9" t="str">
        <x:v>Открыть соответствующий auth/account экран и выполнить действие.</x:v>
      </x:c>
      <x:c r="H23" s="9" t="str">
        <x:v>Открывается выбранная актуальная версия; возврат сохраняет состояние consent screen.</x:v>
      </x:c>
      <x:c r="I23" s="9" t="str">
        <x:v>self</x:v>
      </x:c>
      <x:c r="J23" s="9" t="str">
        <x:v>Windows, Android</x:v>
      </x:c>
      <x:c r="K23" s="9" t="str">
        <x:v>lib/features/auth/presentation; lib/core/router/app_router.dart</x:v>
      </x:c>
      <x:c r="L23" s="9" t="str">
        <x:v>lib/features/auth/data/services; server/src/auth; server/src/legal; server/src/profile</x:v>
      </x:c>
      <x:c r="M23" s="9" t="str">
        <x:v>test/features/auth; docs/audits/v6-role-workspace-acceptance.md</x:v>
      </x:c>
      <x:c r="N23" s="9" t="str">
        <x:v>CODE-BACKED</x:v>
      </x:c>
      <x:c r="O23" s="9" t="str">
        <x:v>PASS</x:v>
      </x:c>
      <x:c r="P23" s="9" t="str">
        <x:v>Post-fix acceptance passed for Legal document view: 1 exact named test(s) matched and passed on build 1.2.3+156.</x:v>
      </x:c>
      <x:c r="Q23" s="9" t="str"/>
      <x:c r="R23" s="9" t="str">
        <x:v>P2</x:v>
      </x:c>
      <x:c r="S23" s="9" t="str">
        <x:v>2026-08-06</x:v>
      </x:c>
      <x:c r="T23" s="9" t="str">
        <x:v>evidence/flutter-test-machine-final-156.ndjson</x:v>
      </x:c>
      <x:c r="U23" s="9" t="str">
        <x:v>Flutter: test/features/auth/magic_release_gate_service_test.dart :: MagicReleaseGateService loads current legal documents and accepts their exact ids</x:v>
      </x:c>
    </x:row>
    <x:row r="24">
      <x:c r="A24" s="9" t="str">
        <x:v>AUTH-023</x:v>
      </x:c>
      <x:c r="B24" s="9" t="str">
        <x:v>Session &amp; Account</x:v>
      </x:c>
      <x:c r="C24" s="9" t="str">
        <x:v>Profile edit</x:v>
      </x:c>
      <x:c r="D24" s="9" t="str">
        <x:v>вошедший пользователь</x:v>
      </x:c>
      <x:c r="E24" s="9" t="str">
        <x:v>Как вошедший пользователь, я хочу обновить свой профиль, чтобы рабочий сценарий был предсказуемым.</x:v>
      </x:c>
      <x:c r="F24" s="9" t="str">
        <x:v>Приложение установлено; backend доступен.</x:v>
      </x:c>
      <x:c r="G24" s="9" t="str">
        <x:v>Открыть соответствующий auth/account экран и выполнить действие.</x:v>
      </x:c>
      <x:c r="H24" s="9" t="str">
        <x:v>Валидные поля сохраняются и сразу отображаются; forbidden/system fields не отправляются.</x:v>
      </x:c>
      <x:c r="I24" s="9" t="str">
        <x:v>self</x:v>
      </x:c>
      <x:c r="J24" s="9" t="str">
        <x:v>Windows, Android</x:v>
      </x:c>
      <x:c r="K24" s="9" t="str">
        <x:v>lib/features/auth/presentation; lib/core/router/app_router.dart</x:v>
      </x:c>
      <x:c r="L24" s="9" t="str">
        <x:v>lib/features/auth/data/services; server/src/auth; server/src/legal; server/src/profile</x:v>
      </x:c>
      <x:c r="M24" s="9" t="str">
        <x:v>test/features/auth; docs/audits/v6-role-workspace-acceptance.md</x:v>
      </x:c>
      <x:c r="N24" s="9" t="str">
        <x:v>CODE-BACKED</x:v>
      </x:c>
      <x:c r="O24" s="9" t="str">
        <x:v>PASS</x:v>
      </x:c>
      <x:c r="P24" s="9" t="str">
        <x:v>Post-fix acceptance passed for Profile edit: 1 exact named test(s) matched and passed on build 1.2.3+156.</x:v>
      </x:c>
      <x:c r="Q24" s="9" t="str"/>
      <x:c r="R24" s="9" t="str">
        <x:v>P1</x:v>
      </x:c>
      <x:c r="S24" s="9" t="str">
        <x:v>2026-08-06</x:v>
      </x:c>
      <x:c r="T24" s="9" t="str">
        <x:v>evidence/flutter-test-machine-final-156.ndjson</x:v>
      </x:c>
      <x:c r="U24" s="9" t="str">
        <x:v>Flutter: test/features/auth/magic_auth_service_test.dart :: MagicAuthService updates only allowlisted current profile fields</x:v>
      </x:c>
    </x:row>
    <x:row r="25">
      <x:c r="A25" s="9" t="str">
        <x:v>AUTH-024</x:v>
      </x:c>
      <x:c r="B25" s="9" t="str">
        <x:v>Session &amp; Account</x:v>
      </x:c>
      <x:c r="C25" s="9" t="str">
        <x:v>MFA toggle</x:v>
      </x:c>
      <x:c r="D25" s="9" t="str">
        <x:v>вошедший пользователь</x:v>
      </x:c>
      <x:c r="E25" s="9" t="str">
        <x:v>Как вошедший пользователь, я хочу включить или выключить email OTP MFA, чтобы рабочий сценарий был предсказуемым.</x:v>
      </x:c>
      <x:c r="F25" s="9" t="str">
        <x:v>Приложение установлено; backend доступен.</x:v>
      </x:c>
      <x:c r="G25" s="9" t="str">
        <x:v>Открыть соответствующий auth/account экран и выполнить действие.</x:v>
      </x:c>
      <x:c r="H25" s="9" t="str">
        <x:v>Текущее состояние загружается с backend; переключение подтверждается сохранённым состоянием.</x:v>
      </x:c>
      <x:c r="I25" s="9" t="str">
        <x:v>self</x:v>
      </x:c>
      <x:c r="J25" s="9" t="str">
        <x:v>Windows, Android</x:v>
      </x:c>
      <x:c r="K25" s="9" t="str">
        <x:v>lib/features/auth/presentation; lib/core/router/app_router.dart</x:v>
      </x:c>
      <x:c r="L25" s="9" t="str">
        <x:v>lib/features/auth/data/services; server/src/auth; server/src/legal; server/src/profile</x:v>
      </x:c>
      <x:c r="M25" s="9" t="str">
        <x:v>test/features/auth; docs/audits/v6-role-workspace-acceptance.md</x:v>
      </x:c>
      <x:c r="N25" s="9" t="str">
        <x:v>CODE-BACKED</x:v>
      </x:c>
      <x:c r="O25" s="9" t="str">
        <x:v>PASS</x:v>
      </x:c>
      <x:c r="P25" s="9" t="str">
        <x:v>Post-fix acceptance passed for MFA toggle: 1 exact named test(s) matched and passed on build 1.2.3+156.</x:v>
      </x:c>
      <x:c r="Q25" s="9" t="str"/>
      <x:c r="R25" s="9" t="str">
        <x:v>P1</x:v>
      </x:c>
      <x:c r="S25" s="9" t="str">
        <x:v>2026-08-06</x:v>
      </x:c>
      <x:c r="T25" s="9" t="str">
        <x:v>evidence/flutter-test-machine-final-156.ndjson</x:v>
      </x:c>
      <x:c r="U25" s="9" t="str">
        <x:v>Flutter: test/features/auth/magic_auth_service_test.dart :: MagicAuthService loads and updates email OTP MFA through the current profile</x:v>
      </x:c>
    </x:row>
    <x:row r="26">
      <x:c r="A26" s="9" t="str">
        <x:v>AUTH-025</x:v>
      </x:c>
      <x:c r="B26" s="9" t="str">
        <x:v>Session &amp; Account</x:v>
      </x:c>
      <x:c r="C26" s="9" t="str">
        <x:v>Account deletion request</x:v>
      </x:c>
      <x:c r="D26" s="9" t="str">
        <x:v>вошедший пользователь</x:v>
      </x:c>
      <x:c r="E26" s="9" t="str">
        <x:v>Как вошедший пользователь, я хочу запросить удаление account, чтобы рабочий сценарий был предсказуемым.</x:v>
      </x:c>
      <x:c r="F26" s="9" t="str">
        <x:v>Приложение установлено; backend доступен.</x:v>
      </x:c>
      <x:c r="G26" s="9" t="str">
        <x:v>Открыть соответствующий auth/account экран и выполнить действие.</x:v>
      </x:c>
      <x:c r="H26" s="9" t="str">
        <x:v>Создаётся одна pending заявка с reason; UI показывает статус и не имитирует немедленное удаление.</x:v>
      </x:c>
      <x:c r="I26" s="9" t="str">
        <x:v>self</x:v>
      </x:c>
      <x:c r="J26" s="9" t="str">
        <x:v>Windows, Android</x:v>
      </x:c>
      <x:c r="K26" s="9" t="str">
        <x:v>lib/features/auth/presentation; lib/core/router/app_router.dart</x:v>
      </x:c>
      <x:c r="L26" s="9" t="str">
        <x:v>lib/features/auth/data/services; server/src/auth; server/src/legal; server/src/profile</x:v>
      </x:c>
      <x:c r="M26" s="9" t="str">
        <x:v>test/features/auth; docs/audits/v6-role-workspace-acceptance.md</x:v>
      </x:c>
      <x:c r="N26" s="9" t="str">
        <x:v>CODE-BACKED</x:v>
      </x:c>
      <x:c r="O26" s="9" t="str">
        <x:v>PASS</x:v>
      </x:c>
      <x:c r="P26" s="9" t="str">
        <x:v>Post-fix acceptance passed for Account deletion request: 1 exact named test(s) matched and passed on build 1.2.3+156.</x:v>
      </x:c>
      <x:c r="Q26" s="9" t="str"/>
      <x:c r="R26" s="9" t="str">
        <x:v>P1</x:v>
      </x:c>
      <x:c r="S26" s="9" t="str">
        <x:v>2026-08-06</x:v>
      </x:c>
      <x:c r="T26" s="9" t="str">
        <x:v>evidence/flutter-test-machine-final-156.ndjson</x:v>
      </x:c>
      <x:c r="U26" s="9" t="str">
        <x:v>Flutter: test/features/auth/magic_release_gate_service_test.dart :: MagicReleaseGateService requests account deletion with required acknowledgement</x:v>
      </x:c>
    </x:row>
    <x:row r="27">
      <x:c r="A27" s="9" t="str">
        <x:v>AUTH-026</x:v>
      </x:c>
      <x:c r="B27" s="9" t="str">
        <x:v>Session &amp; Account</x:v>
      </x:c>
      <x:c r="C27" s="9" t="str">
        <x:v>Account deletion status</x:v>
      </x:c>
      <x:c r="D27" s="9" t="str">
        <x:v>пользователь с заявкой</x:v>
      </x:c>
      <x:c r="E27" s="9" t="str">
        <x:v>Как пользователь с заявкой, я хочу увидеть статус удаления, чтобы рабочий сценарий был предсказуемым.</x:v>
      </x:c>
      <x:c r="F27" s="9" t="str">
        <x:v>Приложение установлено; backend доступен.</x:v>
      </x:c>
      <x:c r="G27" s="9" t="str">
        <x:v>Открыть соответствующий auth/account экран и выполнить действие.</x:v>
      </x:c>
      <x:c r="H27" s="9" t="str">
        <x:v>Статус читается из backend и переживает restart/login.</x:v>
      </x:c>
      <x:c r="I27" s="9" t="str">
        <x:v>self</x:v>
      </x:c>
      <x:c r="J27" s="9" t="str">
        <x:v>Windows, Android</x:v>
      </x:c>
      <x:c r="K27" s="9" t="str">
        <x:v>lib/features/auth/presentation; lib/core/router/app_router.dart</x:v>
      </x:c>
      <x:c r="L27" s="9" t="str">
        <x:v>lib/features/auth/data/services; server/src/auth; server/src/legal; server/src/profile</x:v>
      </x:c>
      <x:c r="M27" s="9" t="str">
        <x:v>test/features/auth; docs/audits/v6-role-workspace-acceptance.md</x:v>
      </x:c>
      <x:c r="N27" s="9" t="str">
        <x:v>CODE-BACKED</x:v>
      </x:c>
      <x:c r="O27" s="9" t="str">
        <x:v>PASS</x:v>
      </x:c>
      <x:c r="P27" s="9" t="str">
        <x:v>Post-fix acceptance passed for Account deletion status: 1 exact named test(s) matched and passed on build 1.2.3+156.</x:v>
      </x:c>
      <x:c r="Q27" s="9" t="str"/>
      <x:c r="R27" s="9" t="str">
        <x:v>P1</x:v>
      </x:c>
      <x:c r="S27" s="9" t="str">
        <x:v>2026-08-06</x:v>
      </x:c>
      <x:c r="T27" s="9" t="str">
        <x:v>evidence/flutter-test-machine-final-156.ndjson</x:v>
      </x:c>
      <x:c r="U27" s="9" t="str">
        <x:v>Flutter: test/features/auth/magic_release_gate_service_test.dart :: MagicReleaseGateService maps pending deletion request from v3 API</x:v>
      </x:c>
    </x:row>
    <x:row r="28">
      <x:c r="A28" s="9" t="str">
        <x:v>NAV-001</x:v>
      </x:c>
      <x:c r="B28" s="9" t="str">
        <x:v>App Experience</x:v>
      </x:c>
      <x:c r="C28" s="9" t="str">
        <x:v>Role landing</x:v>
      </x:c>
      <x:c r="D28" s="9" t="str">
        <x:v>вошедший пользователь</x:v>
      </x:c>
      <x:c r="E28" s="9" t="str">
        <x:v>Как вошедший пользователь, я хочу открыть свой основной workspace, чтобы рабочий сценарий был предсказуемым.</x:v>
      </x:c>
      <x:c r="F28" s="9" t="str">
        <x:v>Пользователь вошёл; capability snapshot загружен.</x:v>
      </x:c>
      <x:c r="G28" s="9" t="str">
        <x:v>Использовать nav, deep link, tab или Back/Forward.</x:v>
      </x:c>
      <x:c r="H28" s="9" t="str">
        <x:v>Login/gates направляют на canonical route роли, а не на экран предыдущего пользователя.</x:v>
      </x:c>
      <x:c r="I28" s="9" t="str">
        <x:v>effective role</x:v>
      </x:c>
      <x:c r="J28" s="9" t="str">
        <x:v>Windows, Android</x:v>
      </x:c>
      <x:c r="K28" s="9" t="str">
        <x:v>lib/core/router; lib/core/navigation; lib/core/workspace; lib/core/widgets/v7</x:v>
      </x:c>
      <x:c r="L28" s="9" t="str">
        <x:v>server/src/access-control; lib/core/services/magic_access_service.dart</x:v>
      </x:c>
      <x:c r="M28" s="9" t="str">
        <x:v>test/core/router; test/core/navigation; test/core/workspace; docs/audits/v6-user-workflow-acceptance.md</x:v>
      </x:c>
      <x:c r="N28" s="9" t="str">
        <x:v>CODE-BACKED</x:v>
      </x:c>
      <x:c r="O28" s="9" t="str">
        <x:v>PASS</x:v>
      </x:c>
      <x:c r="P28" s="9" t="str">
        <x:v>Post-fix acceptance passed for Role landing: 1 exact named test(s) matched and passed on build 1.2.3+156.</x:v>
      </x:c>
      <x:c r="Q28" s="9" t="str"/>
      <x:c r="R28" s="9" t="str">
        <x:v>P0</x:v>
      </x:c>
      <x:c r="S28" s="9" t="str">
        <x:v>2026-08-06</x:v>
      </x:c>
      <x:c r="T28" s="9" t="str">
        <x:v>evidence/flutter-test-machine-final-156.ndjson</x:v>
      </x:c>
      <x:c r="U28" s="9" t="str">
        <x:v>Flutter: test/features/rbac_nav_matrix_test.dart :: crmVisibleTabs — per-role destination matrix client has no CRM shell destinations</x:v>
      </x:c>
    </x:row>
    <x:row r="29">
      <x:c r="A29" s="9" t="str">
        <x:v>NAV-002</x:v>
      </x:c>
      <x:c r="B29" s="9" t="str">
        <x:v>App Experience</x:v>
      </x:c>
      <x:c r="C29" s="9" t="str">
        <x:v>Client navigation</x:v>
      </x:c>
      <x:c r="D29" s="9" t="str">
        <x:v>клиент</x:v>
      </x:c>
      <x:c r="E29" s="9" t="str">
        <x:v>Как клиент, я хочу видеть только личные разделы, чтобы рабочий сценарий был предсказуемым.</x:v>
      </x:c>
      <x:c r="F29" s="9" t="str">
        <x:v>Пользователь вошёл; capability snapshot загружен.</x:v>
      </x:c>
      <x:c r="G29" s="9" t="str">
        <x:v>Использовать nav, deep link, tab или Back/Forward.</x:v>
      </x:c>
      <x:c r="H29" s="9" t="str">
        <x:v>Доступны Chat, Lessons/Homework, Subscription/Payments и Profile; staff destinations отсутствуют.</x:v>
      </x:c>
      <x:c r="I29" s="9" t="str">
        <x:v>client self</x:v>
      </x:c>
      <x:c r="J29" s="9" t="str">
        <x:v>Windows, Android</x:v>
      </x:c>
      <x:c r="K29" s="9" t="str">
        <x:v>lib/core/router; lib/core/navigation; lib/core/workspace; lib/core/widgets/v7</x:v>
      </x:c>
      <x:c r="L29" s="9" t="str">
        <x:v>server/src/access-control; lib/core/services/magic_access_service.dart</x:v>
      </x:c>
      <x:c r="M29" s="9" t="str">
        <x:v>test/core/router; test/core/navigation; test/core/workspace; docs/audits/v6-user-workflow-acceptance.md</x:v>
      </x:c>
      <x:c r="N29" s="9" t="str">
        <x:v>CODE-BACKED</x:v>
      </x:c>
      <x:c r="O29" s="9" t="str">
        <x:v>PASS</x:v>
      </x:c>
      <x:c r="P29" s="9" t="str">
        <x:v>Post-fix acceptance passed for Client navigation: 1 exact named test(s) matched and passed on build 1.2.3+156.</x:v>
      </x:c>
      <x:c r="Q29" s="9" t="str"/>
      <x:c r="R29" s="9" t="str">
        <x:v>P0</x:v>
      </x:c>
      <x:c r="S29" s="9" t="str">
        <x:v>2026-08-06</x:v>
      </x:c>
      <x:c r="T29" s="9" t="str">
        <x:v>evidence/flutter-test-machine-final-156.ndjson</x:v>
      </x:c>
      <x:c r="U29" s="9" t="str">
        <x:v>Flutter: test/features/rbac_nav_matrix_test.dart :: crmVisibleTabs — per-role destination matrix client has no CRM shell destinations</x:v>
      </x:c>
    </x:row>
    <x:row r="30">
      <x:c r="A30" s="9" t="str">
        <x:v>NAV-003</x:v>
      </x:c>
      <x:c r="B30" s="9" t="str">
        <x:v>App Experience</x:v>
      </x:c>
      <x:c r="C30" s="9" t="str">
        <x:v>Teacher navigation</x:v>
      </x:c>
      <x:c r="D30" s="9" t="str">
        <x:v>преподаватель</x:v>
      </x:c>
      <x:c r="E30" s="9" t="str">
        <x:v>Как преподаватель, я хочу видеть назначенную рабочую область, чтобы рабочий сценарий был предсказуемым.</x:v>
      </x:c>
      <x:c r="F30" s="9" t="str">
        <x:v>Пользователь вошёл; capability snapshot загружен.</x:v>
      </x:c>
      <x:c r="G30" s="9" t="str">
        <x:v>Использовать nav, deep link, tab или Back/Forward.</x:v>
      </x:c>
      <x:c r="H30" s="9" t="str">
        <x:v>Доступны Chat, Day/Week Schedule и assigned Students; write/finance/settings скрыты.</x:v>
      </x:c>
      <x:c r="I30" s="9" t="str">
        <x:v>teacher assigned</x:v>
      </x:c>
      <x:c r="J30" s="9" t="str">
        <x:v>Windows, Android</x:v>
      </x:c>
      <x:c r="K30" s="9" t="str">
        <x:v>lib/core/router; lib/core/navigation; lib/core/workspace; lib/core/widgets/v7</x:v>
      </x:c>
      <x:c r="L30" s="9" t="str">
        <x:v>server/src/access-control; lib/core/services/magic_access_service.dart</x:v>
      </x:c>
      <x:c r="M30" s="9" t="str">
        <x:v>test/core/router; test/core/navigation; test/core/workspace; docs/audits/v6-user-workflow-acceptance.md</x:v>
      </x:c>
      <x:c r="N30" s="9" t="str">
        <x:v>CODE-BACKED</x:v>
      </x:c>
      <x:c r="O30" s="9" t="str">
        <x:v>RETEST PASS</x:v>
      </x:c>
      <x:c r="P30" s="9" t="str">
        <x:v>Teacher retained Day/Week read-only schedule and assigned Students; long-press/drag write hints were absent.</x:v>
      </x:c>
      <x:c r="Q30" s="9" t="str">
        <x:v>ERR-004</x:v>
      </x:c>
      <x:c r="R30" s="9" t="str">
        <x:v>P0</x:v>
      </x:c>
      <x:c r="S30" s="9" t="str">
        <x:v>2026-08-06</x:v>
      </x:c>
      <x:c r="T30" s="9" t="str">
        <x:v>evidence/postfix-teacher-schedule-readonly.txt</x:v>
      </x:c>
      <x:c r="U30" s="9" t="str">
        <x:v>Capability projection now covers the legend as well as actions.</x:v>
      </x:c>
    </x:row>
    <x:row r="31">
      <x:c r="A31" s="9" t="str">
        <x:v>NAV-004</x:v>
      </x:c>
      <x:c r="B31" s="9" t="str">
        <x:v>App Experience</x:v>
      </x:c>
      <x:c r="C31" s="9" t="str">
        <x:v>Admin navigation</x:v>
      </x:c>
      <x:c r="D31" s="9" t="str">
        <x:v>администратор</x:v>
      </x:c>
      <x:c r="E31" s="9" t="str">
        <x:v>Как администратор, я хочу работать с Chat, Schedule и Clients, чтобы рабочий сценарий был предсказуемым.</x:v>
      </x:c>
      <x:c r="F31" s="9" t="str">
        <x:v>Пользователь вошёл; capability snapshot загружен.</x:v>
      </x:c>
      <x:c r="G31" s="9" t="str">
        <x:v>Использовать nav, deep link, tab или Back/Forward.</x:v>
      </x:c>
      <x:c r="H31" s="9" t="str">
        <x:v>Tasks, school finance, analytics/config/user administration не появляются и не prefetch-ятся.</x:v>
      </x:c>
      <x:c r="I31" s="9" t="str">
        <x:v>admin ceiling</x:v>
      </x:c>
      <x:c r="J31" s="9" t="str">
        <x:v>Windows, Android</x:v>
      </x:c>
      <x:c r="K31" s="9" t="str">
        <x:v>lib/core/router; lib/core/navigation; lib/core/workspace; lib/core/widgets/v7</x:v>
      </x:c>
      <x:c r="L31" s="9" t="str">
        <x:v>server/src/access-control; lib/core/services/magic_access_service.dart</x:v>
      </x:c>
      <x:c r="M31" s="9" t="str">
        <x:v>test/core/router; test/core/navigation; test/core/workspace; docs/audits/v6-user-workflow-acceptance.md</x:v>
      </x:c>
      <x:c r="N31" s="9" t="str">
        <x:v>CODE-BACKED</x:v>
      </x:c>
      <x:c r="O31" s="9" t="str">
        <x:v>PASS</x:v>
      </x:c>
      <x:c r="P31" s="9" t="str">
        <x:v>Post-fix acceptance passed for Admin navigation: 1 exact named test(s) matched and passed on build 1.2.3+156.</x:v>
      </x:c>
      <x:c r="Q31" s="9" t="str"/>
      <x:c r="R31" s="9" t="str">
        <x:v>P0</x:v>
      </x:c>
      <x:c r="S31" s="9" t="str">
        <x:v>2026-08-06</x:v>
      </x:c>
      <x:c r="T31" s="9" t="str">
        <x:v>evidence/flutter-test-machine-final-156.ndjson</x:v>
      </x:c>
      <x:c r="U31" s="9" t="str">
        <x:v>Flutter: test/features/messenger/tasks_navigation_test.dart :: admin never mounts or requests the Tasks destination</x:v>
      </x:c>
    </x:row>
    <x:row r="32">
      <x:c r="A32" s="9" t="str">
        <x:v>NAV-005</x:v>
      </x:c>
      <x:c r="B32" s="9" t="str">
        <x:v>App Experience</x:v>
      </x:c>
      <x:c r="C32" s="9" t="str">
        <x:v>Manager navigation</x:v>
      </x:c>
      <x:c r="D32" s="9" t="str">
        <x:v>управляющий</x:v>
      </x:c>
      <x:c r="E32" s="9" t="str">
        <x:v>Как управляющий, я хочу работать с operational workspace, чтобы рабочий сценарий был предсказуемым.</x:v>
      </x:c>
      <x:c r="F32" s="9" t="str">
        <x:v>Пользователь вошёл; capability snapshot загружен.</x:v>
      </x:c>
      <x:c r="G32" s="9" t="str">
        <x:v>Использовать nav, deep link, tab или Back/Forward.</x:v>
      </x:c>
      <x:c r="H32" s="9" t="str">
        <x:v>Overview/Schedule/Clients/Tasks/allowed Analytics/Settings видимы; school finance отсутствует.</x:v>
      </x:c>
      <x:c r="I32" s="9" t="str">
        <x:v>manager branch scope</x:v>
      </x:c>
      <x:c r="J32" s="9" t="str">
        <x:v>Windows, Android</x:v>
      </x:c>
      <x:c r="K32" s="9" t="str">
        <x:v>lib/core/router; lib/core/navigation; lib/core/workspace; lib/core/widgets/v7</x:v>
      </x:c>
      <x:c r="L32" s="9" t="str">
        <x:v>server/src/access-control; lib/core/services/magic_access_service.dart</x:v>
      </x:c>
      <x:c r="M32" s="9" t="str">
        <x:v>test/core/router; test/core/navigation; test/core/workspace; docs/audits/v6-user-workflow-acceptance.md</x:v>
      </x:c>
      <x:c r="N32" s="9" t="str">
        <x:v>CODE-BACKED</x:v>
      </x:c>
      <x:c r="O32" s="9" t="str">
        <x:v>RETEST PASS</x:v>
      </x:c>
      <x:c r="P32" s="9" t="str">
        <x:v>Manager received Chat/Overview/Schedule/Clients plus permitted Tasks/Analytics/Settings, while school-wide revenue/debt/expected-payment metrics were absent.</x:v>
      </x:c>
      <x:c r="Q32" s="9" t="str">
        <x:v>ERR-006</x:v>
      </x:c>
      <x:c r="R32" s="9" t="str">
        <x:v>P0</x:v>
      </x:c>
      <x:c r="S32" s="9" t="str">
        <x:v>2026-08-06</x:v>
      </x:c>
      <x:c r="T32" s="9" t="str">
        <x:v>evidence/postfix-manager-overview.txt; evidence/postfix-manager-more.txt</x:v>
      </x:c>
      <x:c r="U32" s="9" t="str">
        <x:v>Operational analytics remained available.</x:v>
      </x:c>
    </x:row>
    <x:row r="33">
      <x:c r="A33" s="9" t="str">
        <x:v>NAV-006</x:v>
      </x:c>
      <x:c r="B33" s="9" t="str">
        <x:v>App Experience</x:v>
      </x:c>
      <x:c r="C33" s="9" t="str">
        <x:v>Director navigation</x:v>
      </x:c>
      <x:c r="D33" s="9" t="str">
        <x:v>директор</x:v>
      </x:c>
      <x:c r="E33" s="9" t="str">
        <x:v>Как директор, я хочу открыть полный business workspace, чтобы рабочий сценарий был предсказуемым.</x:v>
      </x:c>
      <x:c r="F33" s="9" t="str">
        <x:v>Пользователь вошёл; capability snapshot загружен.</x:v>
      </x:c>
      <x:c r="G33" s="9" t="str">
        <x:v>Использовать nav, deep link, tab или Back/Forward.</x:v>
      </x:c>
      <x:c r="H33" s="9" t="str">
        <x:v>Operational, school finance, configuration and access destinations соответствуют capability snapshot.</x:v>
      </x:c>
      <x:c r="I33" s="9" t="str">
        <x:v>director school scope</x:v>
      </x:c>
      <x:c r="J33" s="9" t="str">
        <x:v>Windows, Android</x:v>
      </x:c>
      <x:c r="K33" s="9" t="str">
        <x:v>lib/core/router; lib/core/navigation; lib/core/workspace; lib/core/widgets/v7</x:v>
      </x:c>
      <x:c r="L33" s="9" t="str">
        <x:v>server/src/access-control; lib/core/services/magic_access_service.dart</x:v>
      </x:c>
      <x:c r="M33" s="9" t="str">
        <x:v>test/core/router; test/core/navigation; test/core/workspace; docs/audits/v6-user-workflow-acceptance.md</x:v>
      </x:c>
      <x:c r="N33" s="9" t="str">
        <x:v>CODE-BACKED</x:v>
      </x:c>
      <x:c r="O33" s="9" t="str">
        <x:v>RETEST PASS</x:v>
      </x:c>
      <x:c r="P33" s="9" t="str">
        <x:v>Director Overview is titled `Сводка`; tapping Revenue opened compact Analytics with school-wide finance export and preserved the Director scope.</x:v>
      </x:c>
      <x:c r="Q33" s="9" t="str">
        <x:v>ERR-007; ERR-008</x:v>
      </x:c>
      <x:c r="R33" s="9" t="str">
        <x:v>P0</x:v>
      </x:c>
      <x:c r="S33" s="9" t="str">
        <x:v>2026-08-06</x:v>
      </x:c>
      <x:c r="T33" s="9" t="str">
        <x:v>evidence/postfix-director-overview.txt; evidence/postfix-director-kpi-navigation.txt</x:v>
      </x:c>
      <x:c r="U33" s="9" t="str">
        <x:v>Analytics is also reachable from compact More.</x:v>
      </x:c>
    </x:row>
    <x:row r="34">
      <x:c r="A34" s="9" t="str">
        <x:v>NAV-007</x:v>
      </x:c>
      <x:c r="B34" s="9" t="str">
        <x:v>App Experience</x:v>
      </x:c>
      <x:c r="C34" s="9" t="str">
        <x:v>Forbidden deep link</x:v>
      </x:c>
      <x:c r="D34" s="9" t="str">
        <x:v>пользователь без capability</x:v>
      </x:c>
      <x:c r="E34" s="9" t="str">
        <x:v>Как пользователь без capability, я хочу безопасно открыть запрещённую ссылку, чтобы рабочий сценарий был предсказуемым.</x:v>
      </x:c>
      <x:c r="F34" s="9" t="str">
        <x:v>Пользователь вошёл; capability snapshot загружен.</x:v>
      </x:c>
      <x:c r="G34" s="9" t="str">
        <x:v>Использовать nav, deep link, tab или Back/Forward.</x:v>
      </x:c>
      <x:c r="H34" s="9" t="str">
        <x:v>Показывается forbidden/fallback без provider/service request защищённого раздела.</x:v>
      </x:c>
      <x:c r="I34" s="9" t="str">
        <x:v>fail closed</x:v>
      </x:c>
      <x:c r="J34" s="9" t="str">
        <x:v>Windows, Android</x:v>
      </x:c>
      <x:c r="K34" s="9" t="str">
        <x:v>lib/core/router; lib/core/navigation; lib/core/workspace; lib/core/widgets/v7</x:v>
      </x:c>
      <x:c r="L34" s="9" t="str">
        <x:v>server/src/access-control; lib/core/services/magic_access_service.dart</x:v>
      </x:c>
      <x:c r="M34" s="9" t="str">
        <x:v>test/core/router; test/core/navigation; test/core/workspace; docs/audits/v6-user-workflow-acceptance.md</x:v>
      </x:c>
      <x:c r="N34" s="9" t="str">
        <x:v>CODE-BACKED</x:v>
      </x:c>
      <x:c r="O34" s="9" t="str">
        <x:v>PASS</x:v>
      </x:c>
      <x:c r="P34" s="9" t="str">
        <x:v>Post-fix acceptance passed for Forbidden deep link: 1 exact named test(s) matched and passed on build 1.2.3+156.</x:v>
      </x:c>
      <x:c r="Q34" s="9" t="str"/>
      <x:c r="R34" s="9" t="str">
        <x:v>P0</x:v>
      </x:c>
      <x:c r="S34" s="9" t="str">
        <x:v>2026-08-06</x:v>
      </x:c>
      <x:c r="T34" s="9" t="str">
        <x:v>evidence/flutter-test-machine-final-156.ndjson</x:v>
      </x:c>
      <x:c r="U34" s="9" t="str">
        <x:v>Flutter: test/features/v4/entity_link_registry_test.dart :: forbidden/deleted/archived/unknown states terminate safely</x:v>
      </x:c>
    </x:row>
    <x:row r="35">
      <x:c r="A35" s="9" t="str">
        <x:v>NAV-008</x:v>
      </x:c>
      <x:c r="B35" s="9" t="str">
        <x:v>App Experience</x:v>
      </x:c>
      <x:c r="C35" s="9" t="str">
        <x:v>Typed entity link</x:v>
      </x:c>
      <x:c r="D35" s="9" t="str">
        <x:v>staff пользователь</x:v>
      </x:c>
      <x:c r="E35" s="9" t="str">
        <x:v>Как staff пользователь, я хочу перейти к связанному Client/Lesson/Profile, чтобы рабочий сценарий был предсказуемым.</x:v>
      </x:c>
      <x:c r="F35" s="9" t="str">
        <x:v>Пользователь вошёл; capability snapshot загружен.</x:v>
      </x:c>
      <x:c r="G35" s="9" t="str">
        <x:v>Использовать nav, deep link, tab или Back/Forward.</x:v>
      </x:c>
      <x:c r="H35" s="9" t="str">
        <x:v>Открывается canonical route с human label; raw UUID не используется как нормальный title.</x:v>
      </x:c>
      <x:c r="I35" s="9" t="str">
        <x:v>actor-safe projection</x:v>
      </x:c>
      <x:c r="J35" s="9" t="str">
        <x:v>Windows, Android</x:v>
      </x:c>
      <x:c r="K35" s="9" t="str">
        <x:v>lib/core/router; lib/core/navigation; lib/core/workspace; lib/core/widgets/v7</x:v>
      </x:c>
      <x:c r="L35" s="9" t="str">
        <x:v>server/src/access-control; lib/core/services/magic_access_service.dart</x:v>
      </x:c>
      <x:c r="M35" s="9" t="str">
        <x:v>test/core/router; test/core/navigation; test/core/workspace; docs/audits/v6-user-workflow-acceptance.md</x:v>
      </x:c>
      <x:c r="N35" s="9" t="str">
        <x:v>CODE-BACKED</x:v>
      </x:c>
      <x:c r="O35" s="9" t="str">
        <x:v>PASS</x:v>
      </x:c>
      <x:c r="P35" s="9" t="str">
        <x:v>Post-fix acceptance passed for Typed entity link: 1 exact named test(s) matched and passed on build 1.2.3+156.</x:v>
      </x:c>
      <x:c r="Q35" s="9" t="str"/>
      <x:c r="R35" s="9" t="str">
        <x:v>P1</x:v>
      </x:c>
      <x:c r="S35" s="9" t="str">
        <x:v>2026-08-06</x:v>
      </x:c>
      <x:c r="T35" s="9" t="str">
        <x:v>evidence/flutter-test-machine-final-156.ndjson</x:v>
      </x:c>
      <x:c r="U35" s="9" t="str">
        <x:v>Flutter: test/features/v4/entity_link_registry_test.dart :: human presentation survives serialization and replaces raw ids</x:v>
      </x:c>
    </x:row>
    <x:row r="36">
      <x:c r="A36" s="9" t="str">
        <x:v>NAV-009</x:v>
      </x:c>
      <x:c r="B36" s="9" t="str">
        <x:v>App Experience</x:v>
      </x:c>
      <x:c r="C36" s="9" t="str">
        <x:v>Desktop open current tab</x:v>
      </x:c>
      <x:c r="D36" s="9" t="str">
        <x:v>desktop staff</x:v>
      </x:c>
      <x:c r="E36" s="9" t="str">
        <x:v>Как desktop staff, я хочу открыть entity в текущей вкладке, чтобы рабочий сценарий был предсказуемым.</x:v>
      </x:c>
      <x:c r="F36" s="9" t="str">
        <x:v>Пользователь вошёл; capability snapshot загружен.</x:v>
      </x:c>
      <x:c r="G36" s="9" t="str">
        <x:v>Использовать nav, deep link, tab или Back/Forward.</x:v>
      </x:c>
      <x:c r="H36" s="9" t="str">
        <x:v>Текущая вкладка меняет route, сохраняя source state для Back.</x:v>
      </x:c>
      <x:c r="I36" s="9" t="str">
        <x:v>account scoped</x:v>
      </x:c>
      <x:c r="J36" s="9" t="str">
        <x:v>Windows, Android</x:v>
      </x:c>
      <x:c r="K36" s="9" t="str">
        <x:v>lib/core/router; lib/core/navigation; lib/core/workspace; lib/core/widgets/v7</x:v>
      </x:c>
      <x:c r="L36" s="9" t="str">
        <x:v>server/src/access-control; lib/core/services/magic_access_service.dart</x:v>
      </x:c>
      <x:c r="M36" s="9" t="str">
        <x:v>test/core/router; test/core/navigation; test/core/workspace; docs/audits/v6-user-workflow-acceptance.md</x:v>
      </x:c>
      <x:c r="N36" s="9" t="str">
        <x:v>CODE-BACKED</x:v>
      </x:c>
      <x:c r="O36" s="9" t="str">
        <x:v>PASS</x:v>
      </x:c>
      <x:c r="P36" s="9" t="str">
        <x:v>Post-fix acceptance passed for Desktop open current tab: 1 exact named test(s) matched and passed on build 1.2.3+156.</x:v>
      </x:c>
      <x:c r="Q36" s="9" t="str"/>
      <x:c r="R36" s="9" t="str">
        <x:v>P1</x:v>
      </x:c>
      <x:c r="S36" s="9" t="str">
        <x:v>2026-08-06</x:v>
      </x:c>
      <x:c r="T36" s="9" t="str">
        <x:v>evidence/flutter-test-machine-final-156.ndjson</x:v>
      </x:c>
      <x:c r="U36" s="9" t="str">
        <x:v>Flutter: test/features/v4/desktop_workspace_controller_test.dart :: lateral section replacement becomes the Back source for drilldown</x:v>
      </x:c>
    </x:row>
    <x:row r="37">
      <x:c r="A37" s="9" t="str">
        <x:v>NAV-010</x:v>
      </x:c>
      <x:c r="B37" s="9" t="str">
        <x:v>App Experience</x:v>
      </x:c>
      <x:c r="C37" s="9" t="str">
        <x:v>Desktop open new tab</x:v>
      </x:c>
      <x:c r="D37" s="9" t="str">
        <x:v>desktop staff</x:v>
      </x:c>
      <x:c r="E37" s="9" t="str">
        <x:v>Как desktop staff, я хочу открыть entity в новой вкладке, чтобы рабочий сценарий был предсказуемым.</x:v>
      </x:c>
      <x:c r="F37" s="9" t="str">
        <x:v>Пользователь вошёл; capability snapshot загружен.</x:v>
      </x:c>
      <x:c r="G37" s="9" t="str">
        <x:v>Использовать nav, deep link, tab или Back/Forward.</x:v>
      </x:c>
      <x:c r="H37" s="9" t="str">
        <x:v>Создаётся отдельная вкладка без изменения соседних; forbidden entity не prefetch-ится.</x:v>
      </x:c>
      <x:c r="I37" s="9" t="str">
        <x:v>account scoped</x:v>
      </x:c>
      <x:c r="J37" s="9" t="str">
        <x:v>Windows, Android</x:v>
      </x:c>
      <x:c r="K37" s="9" t="str">
        <x:v>lib/core/router; lib/core/navigation; lib/core/workspace; lib/core/widgets/v7</x:v>
      </x:c>
      <x:c r="L37" s="9" t="str">
        <x:v>server/src/access-control; lib/core/services/magic_access_service.dart</x:v>
      </x:c>
      <x:c r="M37" s="9" t="str">
        <x:v>test/core/router; test/core/navigation; test/core/workspace; docs/audits/v6-user-workflow-acceptance.md</x:v>
      </x:c>
      <x:c r="N37" s="9" t="str">
        <x:v>CODE-BACKED</x:v>
      </x:c>
      <x:c r="O37" s="9" t="str">
        <x:v>PASS</x:v>
      </x:c>
      <x:c r="P37" s="9" t="str">
        <x:v>Post-fix acceptance passed for Desktop open new tab: 1 exact named test(s) matched and passed on build 1.2.3+156.</x:v>
      </x:c>
      <x:c r="Q37" s="9" t="str"/>
      <x:c r="R37" s="9" t="str">
        <x:v>P1</x:v>
      </x:c>
      <x:c r="S37" s="9" t="str">
        <x:v>2026-08-06</x:v>
      </x:c>
      <x:c r="T37" s="9" t="str">
        <x:v>evidence/flutter-test-machine-final-156.ndjson</x:v>
      </x:c>
      <x:c r="U37" s="9" t="str">
        <x:v>Flutter: test/features/v4/desktop_workspace_controller_test.dart :: normal open focuses existing entity and explicit new duplicates it</x:v>
      </x:c>
    </x:row>
    <x:row r="38">
      <x:c r="A38" s="9" t="str">
        <x:v>NAV-011</x:v>
      </x:c>
      <x:c r="B38" s="9" t="str">
        <x:v>App Experience</x:v>
      </x:c>
      <x:c r="C38" s="9" t="str">
        <x:v>Workspace restart restore</x:v>
      </x:c>
      <x:c r="D38" s="9" t="str">
        <x:v>desktop staff</x:v>
      </x:c>
      <x:c r="E38" s="9" t="str">
        <x:v>Как desktop staff, я хочу восстановить вкладки после restart, чтобы рабочий сценарий был предсказуемым.</x:v>
      </x:c>
      <x:c r="F38" s="9" t="str">
        <x:v>Пользователь вошёл; capability snapshot загружен.</x:v>
      </x:c>
      <x:c r="G38" s="9" t="str">
        <x:v>Использовать nav, deep link, tab или Back/Forward.</x:v>
      </x:c>
      <x:c r="H38" s="9" t="str">
        <x:v>Восстанавливаются вкладки только этого account и только разрешённые актуальной ролью.</x:v>
      </x:c>
      <x:c r="I38" s="9" t="str">
        <x:v>account scoped</x:v>
      </x:c>
      <x:c r="J38" s="9" t="str">
        <x:v>Windows, Android</x:v>
      </x:c>
      <x:c r="K38" s="9" t="str">
        <x:v>lib/core/router; lib/core/navigation; lib/core/workspace; lib/core/widgets/v7</x:v>
      </x:c>
      <x:c r="L38" s="9" t="str">
        <x:v>server/src/access-control; lib/core/services/magic_access_service.dart</x:v>
      </x:c>
      <x:c r="M38" s="9" t="str">
        <x:v>test/core/router; test/core/navigation; test/core/workspace; docs/audits/v6-user-workflow-acceptance.md</x:v>
      </x:c>
      <x:c r="N38" s="9" t="str">
        <x:v>CODE-BACKED</x:v>
      </x:c>
      <x:c r="O38" s="9" t="str">
        <x:v>PASS</x:v>
      </x:c>
      <x:c r="P38" s="9" t="str">
        <x:v>Post-fix acceptance passed for Workspace restart restore: 1 exact named test(s) matched and passed on build 1.2.3+156.</x:v>
      </x:c>
      <x:c r="Q38" s="9" t="str"/>
      <x:c r="R38" s="9" t="str">
        <x:v>P0</x:v>
      </x:c>
      <x:c r="S38" s="9" t="str">
        <x:v>2026-08-06</x:v>
      </x:c>
      <x:c r="T38" s="9" t="str">
        <x:v>evidence/flutter-test-machine-final-156.ndjson</x:v>
      </x:c>
      <x:c r="U38" s="9" t="str">
        <x:v>Flutter: test/features/v6/production_workspace_mount_test.dart :: restart restores permitted tabs and logout clears cache</x:v>
      </x:c>
    </x:row>
    <x:row r="39">
      <x:c r="A39" s="9" t="str">
        <x:v>NAV-012</x:v>
      </x:c>
      <x:c r="B39" s="9" t="str">
        <x:v>App Experience</x:v>
      </x:c>
      <x:c r="C39" s="9" t="str">
        <x:v>Workspace logout clear</x:v>
      </x:c>
      <x:c r="D39" s="9" t="str">
        <x:v>desktop staff</x:v>
      </x:c>
      <x:c r="E39" s="9" t="str">
        <x:v>Как desktop staff, я хочу не оставить вкладки после logout, чтобы рабочий сценарий был предсказуемым.</x:v>
      </x:c>
      <x:c r="F39" s="9" t="str">
        <x:v>Пользователь вошёл; capability snapshot загружен.</x:v>
      </x:c>
      <x:c r="G39" s="9" t="str">
        <x:v>Использовать nav, deep link, tab или Back/Forward.</x:v>
      </x:c>
      <x:c r="H39" s="9" t="str">
        <x:v>После следующего login другой account не видит старые вкладки или историю.</x:v>
      </x:c>
      <x:c r="I39" s="9" t="str">
        <x:v>account isolation</x:v>
      </x:c>
      <x:c r="J39" s="9" t="str">
        <x:v>Windows, Android</x:v>
      </x:c>
      <x:c r="K39" s="9" t="str">
        <x:v>lib/core/router; lib/core/navigation; lib/core/workspace; lib/core/widgets/v7</x:v>
      </x:c>
      <x:c r="L39" s="9" t="str">
        <x:v>server/src/access-control; lib/core/services/magic_access_service.dart</x:v>
      </x:c>
      <x:c r="M39" s="9" t="str">
        <x:v>test/core/router; test/core/navigation; test/core/workspace; docs/audits/v6-user-workflow-acceptance.md</x:v>
      </x:c>
      <x:c r="N39" s="9" t="str">
        <x:v>CODE-BACKED</x:v>
      </x:c>
      <x:c r="O39" s="9" t="str">
        <x:v>PASS</x:v>
      </x:c>
      <x:c r="P39" s="9" t="str">
        <x:v>Post-fix acceptance passed for Workspace logout clear: 1 exact named test(s) matched and passed on build 1.2.3+156.</x:v>
      </x:c>
      <x:c r="Q39" s="9" t="str"/>
      <x:c r="R39" s="9" t="str">
        <x:v>P0</x:v>
      </x:c>
      <x:c r="S39" s="9" t="str">
        <x:v>2026-08-06</x:v>
      </x:c>
      <x:c r="T39" s="9" t="str">
        <x:v>evidence/flutter-test-machine-final-156.ndjson</x:v>
      </x:c>
      <x:c r="U39" s="9" t="str">
        <x:v>Flutter: test/features/v4/workspace_persistence_logout_test.dart :: global logout clears two windows and persisted state under 2 seconds</x:v>
      </x:c>
    </x:row>
    <x:row r="40">
      <x:c r="A40" s="9" t="str">
        <x:v>NAV-013</x:v>
      </x:c>
      <x:c r="B40" s="9" t="str">
        <x:v>App Experience</x:v>
      </x:c>
      <x:c r="C40" s="9" t="str">
        <x:v>Per-tab Back/Forward</x:v>
      </x:c>
      <x:c r="D40" s="9" t="str">
        <x:v>desktop staff</x:v>
      </x:c>
      <x:c r="E40" s="9" t="str">
        <x:v>Как desktop staff, я хочу вернуться по истории текущей вкладки, чтобы рабочий сценарий был предсказуемым.</x:v>
      </x:c>
      <x:c r="F40" s="9" t="str">
        <x:v>Пользователь вошёл; capability snapshot загружен.</x:v>
      </x:c>
      <x:c r="G40" s="9" t="str">
        <x:v>Использовать nav, deep link, tab или Back/Forward.</x:v>
      </x:c>
      <x:c r="H40" s="9" t="str">
        <x:v>Back/Forward меняет только активную вкладку и восстанавливает filter/source context.</x:v>
      </x:c>
      <x:c r="I40" s="9" t="str">
        <x:v>current tab</x:v>
      </x:c>
      <x:c r="J40" s="9" t="str">
        <x:v>Windows, Android</x:v>
      </x:c>
      <x:c r="K40" s="9" t="str">
        <x:v>lib/core/router; lib/core/navigation; lib/core/workspace; lib/core/widgets/v7</x:v>
      </x:c>
      <x:c r="L40" s="9" t="str">
        <x:v>server/src/access-control; lib/core/services/magic_access_service.dart</x:v>
      </x:c>
      <x:c r="M40" s="9" t="str">
        <x:v>test/core/router; test/core/navigation; test/core/workspace; docs/audits/v6-user-workflow-acceptance.md</x:v>
      </x:c>
      <x:c r="N40" s="9" t="str">
        <x:v>CODE-BACKED</x:v>
      </x:c>
      <x:c r="O40" s="9" t="str">
        <x:v>PASS</x:v>
      </x:c>
      <x:c r="P40" s="9" t="str">
        <x:v>Post-fix acceptance passed for Per-tab Back/Forward: 1 exact named test(s) matched and passed on build 1.2.3+156.</x:v>
      </x:c>
      <x:c r="Q40" s="9" t="str"/>
      <x:c r="R40" s="9" t="str">
        <x:v>P1</x:v>
      </x:c>
      <x:c r="S40" s="9" t="str">
        <x:v>2026-08-06</x:v>
      </x:c>
      <x:c r="T40" s="9" t="str">
        <x:v>evidence/flutter-test-machine-final-156.ndjson</x:v>
      </x:c>
      <x:c r="U40" s="9" t="str">
        <x:v>Flutter: test/features/v6/desktop_context_bar_test.dart :: ancestor, Back and Forward stay inside the active tab</x:v>
      </x:c>
    </x:row>
    <x:row r="41">
      <x:c r="A41" s="9" t="str">
        <x:v>NAV-014</x:v>
      </x:c>
      <x:c r="B41" s="9" t="str">
        <x:v>App Experience</x:v>
      </x:c>
      <x:c r="C41" s="9" t="str">
        <x:v>Compact Back</x:v>
      </x:c>
      <x:c r="D41" s="9" t="str">
        <x:v>mobile пользователь</x:v>
      </x:c>
      <x:c r="E41" s="9" t="str">
        <x:v>Как mobile пользователь, я хочу вернуться системным Back, чтобы рабочий сценарий был предсказуемым.</x:v>
      </x:c>
      <x:c r="F41" s="9" t="str">
        <x:v>Пользователь вошёл; capability snapshot загружен.</x:v>
      </x:c>
      <x:c r="G41" s="9" t="str">
        <x:v>Использовать nav, deep link, tab или Back/Forward.</x:v>
      </x:c>
      <x:c r="H41" s="9" t="str">
        <x:v>GoRouter stack закрывает modal/route в правильном порядке; Android edge gesture эквивалентен Back.</x:v>
      </x:c>
      <x:c r="I41" s="9" t="str">
        <x:v>current route</x:v>
      </x:c>
      <x:c r="J41" s="9" t="str">
        <x:v>Windows, Android</x:v>
      </x:c>
      <x:c r="K41" s="9" t="str">
        <x:v>lib/core/router; lib/core/navigation; lib/core/workspace; lib/core/widgets/v7</x:v>
      </x:c>
      <x:c r="L41" s="9" t="str">
        <x:v>server/src/access-control; lib/core/services/magic_access_service.dart</x:v>
      </x:c>
      <x:c r="M41" s="9" t="str">
        <x:v>test/core/router; test/core/navigation; test/core/workspace; docs/audits/v6-user-workflow-acceptance.md</x:v>
      </x:c>
      <x:c r="N41" s="9" t="str">
        <x:v>CODE-BACKED</x:v>
      </x:c>
      <x:c r="O41" s="9" t="str">
        <x:v>PASS</x:v>
      </x:c>
      <x:c r="P41" s="9" t="str">
        <x:v>Post-fix acceptance passed for Compact Back: 1 exact named test(s) matched and passed on build 1.2.3+156.</x:v>
      </x:c>
      <x:c r="Q41" s="9" t="str"/>
      <x:c r="R41" s="9" t="str">
        <x:v>P0</x:v>
      </x:c>
      <x:c r="S41" s="9" t="str">
        <x:v>2026-08-06</x:v>
      </x:c>
      <x:c r="T41" s="9" t="str">
        <x:v>evidence/flutter-test-machine-final-156.ndjson</x:v>
      </x:c>
      <x:c r="U41" s="9" t="str">
        <x:v>Flutter: test/core/navigation/app_back_policy_test.dart :: partial and full mobile sheets both dismiss before the page</x:v>
      </x:c>
    </x:row>
    <x:row r="42">
      <x:c r="A42" s="9" t="str">
        <x:v>NAV-015</x:v>
      </x:c>
      <x:c r="B42" s="9" t="str">
        <x:v>App Experience</x:v>
      </x:c>
      <x:c r="C42" s="9" t="str">
        <x:v>Dirty editor guard</x:v>
      </x:c>
      <x:c r="D42" s="9" t="str">
        <x:v>пользователь с несохранённой формой</x:v>
      </x:c>
      <x:c r="E42" s="9" t="str">
        <x:v>Как пользователь с несохранённой формой, я хочу не потерять изменения случайным Back, чтобы рабочий сценарий был предсказуемым.</x:v>
      </x:c>
      <x:c r="F42" s="9" t="str">
        <x:v>Пользователь вошёл; capability snapshot загружен.</x:v>
      </x:c>
      <x:c r="G42" s="9" t="str">
        <x:v>Использовать nav, deep link, tab или Back/Forward.</x:v>
      </x:c>
      <x:c r="H42" s="9" t="str">
        <x:v>Перед закрытием показывается единое подтверждение; cancel оставляет форму, discard закрывает.</x:v>
      </x:c>
      <x:c r="I42" s="9" t="str">
        <x:v>current editor</x:v>
      </x:c>
      <x:c r="J42" s="9" t="str">
        <x:v>Windows, Android</x:v>
      </x:c>
      <x:c r="K42" s="9" t="str">
        <x:v>lib/core/router; lib/core/navigation; lib/core/workspace; lib/core/widgets/v7</x:v>
      </x:c>
      <x:c r="L42" s="9" t="str">
        <x:v>server/src/access-control; lib/core/services/magic_access_service.dart</x:v>
      </x:c>
      <x:c r="M42" s="9" t="str">
        <x:v>test/core/router; test/core/navigation; test/core/workspace; docs/audits/v6-user-workflow-acceptance.md</x:v>
      </x:c>
      <x:c r="N42" s="9" t="str">
        <x:v>CODE-BACKED</x:v>
      </x:c>
      <x:c r="O42" s="9" t="str">
        <x:v>PASS</x:v>
      </x:c>
      <x:c r="P42" s="9" t="str">
        <x:v>Post-fix acceptance passed for Dirty editor guard: 1 exact named test(s) matched and passed on build 1.2.3+156.</x:v>
      </x:c>
      <x:c r="Q42" s="9" t="str"/>
      <x:c r="R42" s="9" t="str">
        <x:v>P0</x:v>
      </x:c>
      <x:c r="S42" s="9" t="str">
        <x:v>2026-08-06</x:v>
      </x:c>
      <x:c r="T42" s="9" t="str">
        <x:v>evidence/flutter-test-machine-final-156.ndjson</x:v>
      </x:c>
      <x:c r="U42" s="9" t="str">
        <x:v>Flutter: test/core/widgets/dirty_form_exit_test.dart :: all exit sources use the same Save Discard Cancel decision</x:v>
      </x:c>
    </x:row>
    <x:row r="43">
      <x:c r="A43" s="9" t="str">
        <x:v>NAV-016</x:v>
      </x:c>
      <x:c r="B43" s="9" t="str">
        <x:v>App Experience</x:v>
      </x:c>
      <x:c r="C43" s="9" t="str">
        <x:v>Adaptive surface</x:v>
      </x:c>
      <x:c r="D43" s="9" t="str">
        <x:v>пользователь</x:v>
      </x:c>
      <x:c r="E43" s="9" t="str">
        <x:v>Как пользователь, я хочу получить подходящий modal layout, чтобы рабочий сценарий был предсказуемым.</x:v>
      </x:c>
      <x:c r="F43" s="9" t="str">
        <x:v>Пользователь вошёл; capability snapshot загружен.</x:v>
      </x:c>
      <x:c r="G43" s="9" t="str">
        <x:v>Использовать nav, deep link, tab или Back/Forward.</x:v>
      </x:c>
      <x:c r="H43" s="9" t="str">
        <x:v>Короткий выбор: sheet→drawer; длинное редактирование: fullscreen; delete: concise confirmation.</x:v>
      </x:c>
      <x:c r="I43" s="9" t="str">
        <x:v>device width</x:v>
      </x:c>
      <x:c r="J43" s="9" t="str">
        <x:v>Windows, Android</x:v>
      </x:c>
      <x:c r="K43" s="9" t="str">
        <x:v>lib/core/router; lib/core/navigation; lib/core/workspace; lib/core/widgets/v7</x:v>
      </x:c>
      <x:c r="L43" s="9" t="str">
        <x:v>server/src/access-control; lib/core/services/magic_access_service.dart</x:v>
      </x:c>
      <x:c r="M43" s="9" t="str">
        <x:v>test/core/router; test/core/navigation; test/core/workspace; docs/audits/v6-user-workflow-acceptance.md</x:v>
      </x:c>
      <x:c r="N43" s="9" t="str">
        <x:v>CODE-BACKED</x:v>
      </x:c>
      <x:c r="O43" s="9" t="str">
        <x:v>PASS</x:v>
      </x:c>
      <x:c r="P43" s="9" t="str">
        <x:v>Post-fix acceptance passed for Adaptive surface: 1 exact named test(s) matched and passed on build 1.2.3+156.</x:v>
      </x:c>
      <x:c r="Q43" s="9" t="str"/>
      <x:c r="R43" s="9" t="str">
        <x:v>P1</x:v>
      </x:c>
      <x:c r="S43" s="9" t="str">
        <x:v>2026-08-06</x:v>
      </x:c>
      <x:c r="T43" s="9" t="str">
        <x:v>evidence/flutter-test-machine-final-156.ndjson</x:v>
      </x:c>
      <x:c r="U43" s="9" t="str">
        <x:v>Flutter: test/core/widgets/adaptive_surface_policy_test.dart :: declarative policy covers 360, 600 and 840 widths</x:v>
      </x:c>
    </x:row>
    <x:row r="44">
      <x:c r="A44" s="9" t="str">
        <x:v>NAV-017</x:v>
      </x:c>
      <x:c r="B44" s="9" t="str">
        <x:v>App Experience</x:v>
      </x:c>
      <x:c r="C44" s="9" t="str">
        <x:v>Routed states</x:v>
      </x:c>
      <x:c r="D44" s="9" t="str">
        <x:v>пользователь</x:v>
      </x:c>
      <x:c r="E44" s="9" t="str">
        <x:v>Как пользователь, я хочу понимать loading/empty/error/forbidden, чтобы рабочий сценарий был предсказуемым.</x:v>
      </x:c>
      <x:c r="F44" s="9" t="str">
        <x:v>Пользователь вошёл; capability snapshot загружен.</x:v>
      </x:c>
      <x:c r="G44" s="9" t="str">
        <x:v>Использовать nav, deep link, tab или Back/Forward.</x:v>
      </x:c>
      <x:c r="H44" s="9" t="str">
        <x:v>Каждый route показывает единые состояния и retry там, где действие безопасно.</x:v>
      </x:c>
      <x:c r="I44" s="9" t="str">
        <x:v>actor scoped</x:v>
      </x:c>
      <x:c r="J44" s="9" t="str">
        <x:v>Windows, Android</x:v>
      </x:c>
      <x:c r="K44" s="9" t="str">
        <x:v>lib/core/router; lib/core/navigation; lib/core/workspace; lib/core/widgets/v7</x:v>
      </x:c>
      <x:c r="L44" s="9" t="str">
        <x:v>server/src/access-control; lib/core/services/magic_access_service.dart</x:v>
      </x:c>
      <x:c r="M44" s="9" t="str">
        <x:v>test/core/router; test/core/navigation; test/core/workspace; docs/audits/v6-user-workflow-acceptance.md</x:v>
      </x:c>
      <x:c r="N44" s="9" t="str">
        <x:v>CODE-BACKED</x:v>
      </x:c>
      <x:c r="O44" s="9" t="str">
        <x:v>PASS</x:v>
      </x:c>
      <x:c r="P44" s="9" t="str">
        <x:v>Post-fix acceptance passed for Routed states: 1 exact named test(s) matched and passed on build 1.2.3+156.</x:v>
      </x:c>
      <x:c r="Q44" s="9" t="str"/>
      <x:c r="R44" s="9" t="str">
        <x:v>P1</x:v>
      </x:c>
      <x:c r="S44" s="9" t="str">
        <x:v>2026-08-06</x:v>
      </x:c>
      <x:c r="T44" s="9" t="str">
        <x:v>evidence/flutter-test-machine-final-156.ndjson</x:v>
      </x:c>
      <x:c r="U44" s="9" t="str">
        <x:v>Flutter: test/core/widgets/magic_page_state_test.dart :: page states expose retry and concise empty guidance</x:v>
      </x:c>
    </x:row>
    <x:row r="45">
      <x:c r="A45" s="9" t="str">
        <x:v>NAV-018</x:v>
      </x:c>
      <x:c r="B45" s="9" t="str">
        <x:v>App Experience</x:v>
      </x:c>
      <x:c r="C45" s="9" t="str">
        <x:v>Keyboard and semantics</x:v>
      </x:c>
      <x:c r="D45" s="9" t="str">
        <x:v>desktop/assistive пользователь</x:v>
      </x:c>
      <x:c r="E45" s="9" t="str">
        <x:v>Как desktop/assistive пользователь, я хочу управлять интерфейсом клавиатурой, чтобы рабочий сценарий был предсказуемым.</x:v>
      </x:c>
      <x:c r="F45" s="9" t="str">
        <x:v>Пользователь вошёл; capability snapshot загружен.</x:v>
      </x:c>
      <x:c r="G45" s="9" t="str">
        <x:v>Использовать nav, deep link, tab или Back/Forward.</x:v>
      </x:c>
      <x:c r="H45" s="9" t="str">
        <x:v>Interactive controls имеют focus order, labels/tooltips; одна primary action на surface.</x:v>
      </x:c>
      <x:c r="I45" s="9" t="str">
        <x:v>accessibility</x:v>
      </x:c>
      <x:c r="J45" s="9" t="str">
        <x:v>Windows, Android</x:v>
      </x:c>
      <x:c r="K45" s="9" t="str">
        <x:v>lib/core/router; lib/core/navigation; lib/core/workspace; lib/core/widgets/v7</x:v>
      </x:c>
      <x:c r="L45" s="9" t="str">
        <x:v>server/src/access-control; lib/core/services/magic_access_service.dart</x:v>
      </x:c>
      <x:c r="M45" s="9" t="str">
        <x:v>test/core/router; test/core/navigation; test/core/workspace; docs/audits/v6-user-workflow-acceptance.md</x:v>
      </x:c>
      <x:c r="N45" s="9" t="str">
        <x:v>CODE-BACKED</x:v>
      </x:c>
      <x:c r="O45" s="9" t="str">
        <x:v>RETEST PASS</x:v>
      </x:c>
      <x:c r="P45" s="9" t="str">
        <x:v>Weekday switches expose labels such as `Понедельник: выключено`; settings search fields retain visible labels and semantic tests pass.</x:v>
      </x:c>
      <x:c r="Q45" s="9" t="str">
        <x:v>ERR-011</x:v>
      </x:c>
      <x:c r="R45" s="9" t="str">
        <x:v>P1</x:v>
      </x:c>
      <x:c r="S45" s="9" t="str">
        <x:v>2026-08-06</x:v>
      </x:c>
      <x:c r="T45" s="9" t="str">
        <x:v>evidence/postfix-settings-schedule.txt; evidence/flutter-test-full-final-156.txt</x:v>
      </x:c>
      <x:c r="U45" s="9" t="str">
        <x:v>Focus order and control state remain native Flutter semantics.</x:v>
      </x:c>
    </x:row>
    <x:row r="46">
      <x:c r="A46" s="9" t="str">
        <x:v>CHAT-001</x:v>
      </x:c>
      <x:c r="B46" s="9" t="str">
        <x:v>Messenger</x:v>
      </x:c>
      <x:c r="C46" s="9" t="str">
        <x:v>Load chats</x:v>
      </x:c>
      <x:c r="D46" s="9" t="str">
        <x:v>пользователь</x:v>
      </x:c>
      <x:c r="E46" s="9" t="str">
        <x:v>Как пользователь, я хочу увидеть доступные диалоги, чтобы рабочий сценарий был предсказуемым.</x:v>
      </x:c>
      <x:c r="F46" s="9" t="str">
        <x:v>Пользователь вошёл; Chat destination разрешён.</x:v>
      </x:c>
      <x:c r="G46" s="9" t="str">
        <x:v>Открыть Chat и выполнить действие в списке/переписке/канале.</x:v>
      </x:c>
      <x:c r="H46" s="9" t="str">
        <x:v>Список содержит только разрешённые direct/group chats, корректные unread/last-message metadata и routed loading/error states.</x:v>
      </x:c>
      <x:c r="I46" s="9" t="str">
        <x:v>actor chat scope</x:v>
      </x:c>
      <x:c r="J46" s="9" t="str">
        <x:v>Windows, Android</x:v>
      </x:c>
      <x:c r="K46" s="9" t="str">
        <x:v>lib/features/messenger/presentation/screens/messenger_screen.dart</x:v>
      </x:c>
      <x:c r="L46" s="9" t="str">
        <x:v>lib/core/services/magic_messenger_service.dart; server/src/messenger</x:v>
      </x:c>
      <x:c r="M46" s="9" t="str">
        <x:v>test/features/messenger; server/src/messenger/*.spec.ts</x:v>
      </x:c>
      <x:c r="N46" s="9" t="str">
        <x:v>CODE-BACKED</x:v>
      </x:c>
      <x:c r="O46" s="9" t="str">
        <x:v>PASS</x:v>
      </x:c>
      <x:c r="P46" s="9" t="str">
        <x:v>Post-fix acceptance passed for Load chats: 1 exact named test(s) matched and passed on build 1.2.3+156.</x:v>
      </x:c>
      <x:c r="Q46" s="9" t="str"/>
      <x:c r="R46" s="9" t="str">
        <x:v>P0</x:v>
      </x:c>
      <x:c r="S46" s="9" t="str">
        <x:v>2026-08-06</x:v>
      </x:c>
      <x:c r="T46" s="9" t="str">
        <x:v>evidence/flutter-test-machine-final-156.ndjson</x:v>
      </x:c>
      <x:c r="U46" s="9" t="str">
        <x:v>Flutter: test/core/services/magic_messenger_service_test.dart :: MagicMessengerService listChats follows keyset pages, preserves filters, and deduplicates ids</x:v>
      </x:c>
    </x:row>
    <x:row r="47">
      <x:c r="A47" s="9" t="str">
        <x:v>CHAT-002</x:v>
      </x:c>
      <x:c r="B47" s="9" t="str">
        <x:v>Messenger</x:v>
      </x:c>
      <x:c r="C47" s="9" t="str">
        <x:v>Chat search typing</x:v>
      </x:c>
      <x:c r="D47" s="9" t="str">
        <x:v>пользователь</x:v>
      </x:c>
      <x:c r="E47" s="9" t="str">
        <x:v>Как пользователь, я хочу ввести запрос без restart страницы, чтобы рабочий сценарий был предсказуемым.</x:v>
      </x:c>
      <x:c r="F47" s="9" t="str">
        <x:v>Пользователь вошёл; Chat destination разрешён.</x:v>
      </x:c>
      <x:c r="G47" s="9" t="str">
        <x:v>Открыть Chat и выполнить действие в списке/переписке/канале.</x:v>
      </x:c>
      <x:c r="H47" s="9" t="str">
        <x:v>Каждый символ сохраняется и focus остаётся в поле; результат фильтруется без полного/частичного route restart.</x:v>
      </x:c>
      <x:c r="I47" s="9" t="str">
        <x:v>actor chat scope</x:v>
      </x:c>
      <x:c r="J47" s="9" t="str">
        <x:v>Windows, Android</x:v>
      </x:c>
      <x:c r="K47" s="9" t="str">
        <x:v>lib/features/messenger/presentation/screens/messenger_screen.dart</x:v>
      </x:c>
      <x:c r="L47" s="9" t="str">
        <x:v>lib/core/services/magic_messenger_service.dart; server/src/messenger</x:v>
      </x:c>
      <x:c r="M47" s="9" t="str">
        <x:v>test/features/messenger; server/src/messenger/*.spec.ts</x:v>
      </x:c>
      <x:c r="N47" s="9" t="str">
        <x:v>CODE-BACKED</x:v>
      </x:c>
      <x:c r="O47" s="9" t="str">
        <x:v>PASS</x:v>
      </x:c>
      <x:c r="P47" s="9" t="str">
        <x:v>Post-fix acceptance passed for Chat search typing: 1 exact named test(s) matched and passed on build 1.2.3+156.</x:v>
      </x:c>
      <x:c r="Q47" s="9" t="str"/>
      <x:c r="R47" s="9" t="str">
        <x:v>P0</x:v>
      </x:c>
      <x:c r="S47" s="9" t="str">
        <x:v>2026-08-06</x:v>
      </x:c>
      <x:c r="T47" s="9" t="str">
        <x:v>evidence/flutter-test-machine-final-156.ndjson</x:v>
      </x:c>
      <x:c r="U47" s="9" t="str">
        <x:v>Flutter: test/features/messenger/inbox_logic_test.dart :: chat search filters each typed prefix without mutating the source</x:v>
      </x:c>
    </x:row>
    <x:row r="48">
      <x:c r="A48" s="9" t="str">
        <x:v>CHAT-003</x:v>
      </x:c>
      <x:c r="B48" s="9" t="str">
        <x:v>Messenger</x:v>
      </x:c>
      <x:c r="C48" s="9" t="str">
        <x:v>Staff folders</x:v>
      </x:c>
      <x:c r="D48" s="9" t="str">
        <x:v>staff пользователь</x:v>
      </x:c>
      <x:c r="E48" s="9" t="str">
        <x:v>Как staff пользователь, я хочу фильтровать рабочий inbox по папке, чтобы рабочий сценарий был предсказуемым.</x:v>
      </x:c>
      <x:c r="F48" s="9" t="str">
        <x:v>Пользователь вошёл; Chat destination разрешён.</x:v>
      </x:c>
      <x:c r="G48" s="9" t="str">
        <x:v>Открыть Chat и выполнить действие в списке/переписке/канале.</x:v>
      </x:c>
      <x:c r="H48" s="9" t="str">
        <x:v>Переключение папки меняет список, не теряя ввод и выбранный chat без необходимости.</x:v>
      </x:c>
      <x:c r="I48" s="9" t="str">
        <x:v>staff only</x:v>
      </x:c>
      <x:c r="J48" s="9" t="str">
        <x:v>Windows, Android</x:v>
      </x:c>
      <x:c r="K48" s="9" t="str">
        <x:v>lib/features/messenger/presentation/screens/messenger_screen.dart</x:v>
      </x:c>
      <x:c r="L48" s="9" t="str">
        <x:v>lib/core/services/magic_messenger_service.dart; server/src/messenger</x:v>
      </x:c>
      <x:c r="M48" s="9" t="str">
        <x:v>test/features/messenger; server/src/messenger/*.spec.ts</x:v>
      </x:c>
      <x:c r="N48" s="9" t="str">
        <x:v>CODE-BACKED</x:v>
      </x:c>
      <x:c r="O48" s="9" t="str">
        <x:v>PASS</x:v>
      </x:c>
      <x:c r="P48" s="9" t="str">
        <x:v>Post-fix acceptance passed for Staff folders: 1 exact named test(s) matched and passed on build 1.2.3+156.</x:v>
      </x:c>
      <x:c r="Q48" s="9" t="str"/>
      <x:c r="R48" s="9" t="str">
        <x:v>P1</x:v>
      </x:c>
      <x:c r="S48" s="9" t="str">
        <x:v>2026-08-06</x:v>
      </x:c>
      <x:c r="T48" s="9" t="str">
        <x:v>evidence/flutter-test-machine-final-156.ndjson</x:v>
      </x:c>
      <x:c r="U48" s="9" t="str">
        <x:v>Flutter: test/features/messenger/inbox_logic_test.dart :: showInboxFolders: true for manager, admin, system_admin</x:v>
      </x:c>
    </x:row>
    <x:row r="49">
      <x:c r="A49" s="9" t="str">
        <x:v>CHAT-004</x:v>
      </x:c>
      <x:c r="B49" s="9" t="str">
        <x:v>Messenger</x:v>
      </x:c>
      <x:c r="C49" s="9" t="str">
        <x:v>Branch filter</x:v>
      </x:c>
      <x:c r="D49" s="9" t="str">
        <x:v>staff пользователь</x:v>
      </x:c>
      <x:c r="E49" s="9" t="str">
        <x:v>Как staff пользователь, я хочу ограничить inbox филиалом, чтобы рабочий сценарий был предсказуемым.</x:v>
      </x:c>
      <x:c r="F49" s="9" t="str">
        <x:v>Пользователь вошёл; Chat destination разрешён.</x:v>
      </x:c>
      <x:c r="G49" s="9" t="str">
        <x:v>Открыть Chat и выполнить действие в списке/переписке/канале.</x:v>
      </x:c>
      <x:c r="H49" s="9" t="str">
        <x:v>Показываются chats разрешённого Branch; выбранный scope видим и очищаем.</x:v>
      </x:c>
      <x:c r="I49" s="9" t="str">
        <x:v>assigned branches</x:v>
      </x:c>
      <x:c r="J49" s="9" t="str">
        <x:v>Windows, Android</x:v>
      </x:c>
      <x:c r="K49" s="9" t="str">
        <x:v>lib/features/messenger/presentation/screens/messenger_screen.dart</x:v>
      </x:c>
      <x:c r="L49" s="9" t="str">
        <x:v>lib/core/services/magic_messenger_service.dart; server/src/messenger</x:v>
      </x:c>
      <x:c r="M49" s="9" t="str">
        <x:v>test/features/messenger; server/src/messenger/*.spec.ts</x:v>
      </x:c>
      <x:c r="N49" s="9" t="str">
        <x:v>CODE-BACKED</x:v>
      </x:c>
      <x:c r="O49" s="9" t="str">
        <x:v>PASS</x:v>
      </x:c>
      <x:c r="P49" s="9" t="str">
        <x:v>Post-fix acceptance passed for Branch filter: 1 exact named test(s) matched and passed on build 1.2.3+156.</x:v>
      </x:c>
      <x:c r="Q49" s="9" t="str"/>
      <x:c r="R49" s="9" t="str">
        <x:v>P1</x:v>
      </x:c>
      <x:c r="S49" s="9" t="str">
        <x:v>2026-08-06</x:v>
      </x:c>
      <x:c r="T49" s="9" t="str">
        <x:v>evidence/flutter-test-machine-final-156.ndjson</x:v>
      </x:c>
      <x:c r="U49" s="9" t="str">
        <x:v>Flutter: test/features/messenger/inbox_logic_test.dart :: branch filter scopes administration only and preserves non-inbox</x:v>
      </x:c>
    </x:row>
    <x:row r="50">
      <x:c r="A50" s="9" t="str">
        <x:v>CHAT-005</x:v>
      </x:c>
      <x:c r="B50" s="9" t="str">
        <x:v>Messenger</x:v>
      </x:c>
      <x:c r="C50" s="9" t="str">
        <x:v>Pinned ordering</x:v>
      </x:c>
      <x:c r="D50" s="9" t="str">
        <x:v>пользователь</x:v>
      </x:c>
      <x:c r="E50" s="9" t="str">
        <x:v>Как пользователь, я хочу видеть закреплённые разговоры первыми, чтобы рабочий сценарий был предсказуемым.</x:v>
      </x:c>
      <x:c r="F50" s="9" t="str">
        <x:v>Пользователь вошёл; Chat destination разрешён.</x:v>
      </x:c>
      <x:c r="G50" s="9" t="str">
        <x:v>Открыть Chat и выполнить действие в списке/переписке/канале.</x:v>
      </x:c>
      <x:c r="H50" s="9" t="str">
        <x:v>Pinned chats стабильно сортируются выше остальных без потери unread state.</x:v>
      </x:c>
      <x:c r="I50" s="9" t="str">
        <x:v>actor chat scope</x:v>
      </x:c>
      <x:c r="J50" s="9" t="str">
        <x:v>Windows, Android</x:v>
      </x:c>
      <x:c r="K50" s="9" t="str">
        <x:v>lib/features/messenger/presentation/screens/messenger_screen.dart</x:v>
      </x:c>
      <x:c r="L50" s="9" t="str">
        <x:v>lib/core/services/magic_messenger_service.dart; server/src/messenger</x:v>
      </x:c>
      <x:c r="M50" s="9" t="str">
        <x:v>test/features/messenger; server/src/messenger/*.spec.ts</x:v>
      </x:c>
      <x:c r="N50" s="9" t="str">
        <x:v>CODE-BACKED</x:v>
      </x:c>
      <x:c r="O50" s="9" t="str">
        <x:v>PASS</x:v>
      </x:c>
      <x:c r="P50" s="9" t="str">
        <x:v>Post-fix acceptance passed for Pinned ordering: 1 exact named test(s) matched and passed on build 1.2.3+156.</x:v>
      </x:c>
      <x:c r="Q50" s="9" t="str"/>
      <x:c r="R50" s="9" t="str">
        <x:v>P2</x:v>
      </x:c>
      <x:c r="S50" s="9" t="str">
        <x:v>2026-08-06</x:v>
      </x:c>
      <x:c r="T50" s="9" t="str">
        <x:v>evidence/flutter-test-machine-final-156.ndjson</x:v>
      </x:c>
      <x:c r="U50" s="9" t="str">
        <x:v>Flutter: test/features/messenger/inbox_logic_test.dart :: pinned chats sort first and keep newest activity order</x:v>
      </x:c>
    </x:row>
    <x:row r="51">
      <x:c r="A51" s="9" t="str">
        <x:v>CHAT-006</x:v>
      </x:c>
      <x:c r="B51" s="9" t="str">
        <x:v>Messenger</x:v>
      </x:c>
      <x:c r="C51" s="9" t="str">
        <x:v>Open chat</x:v>
      </x:c>
      <x:c r="D51" s="9" t="str">
        <x:v>пользователь</x:v>
      </x:c>
      <x:c r="E51" s="9" t="str">
        <x:v>Как пользователь, я хочу открыть разговор, чтобы рабочий сценарий был предсказуемым.</x:v>
      </x:c>
      <x:c r="F51" s="9" t="str">
        <x:v>Пользователь вошёл; Chat destination разрешён.</x:v>
      </x:c>
      <x:c r="G51" s="9" t="str">
        <x:v>Открыть Chat и выполнить действие в списке/переписке/канале.</x:v>
      </x:c>
      <x:c r="H51" s="9" t="str">
        <x:v>Загружаются разрешённые messages/members; room join выполняется только после policy authorization.</x:v>
      </x:c>
      <x:c r="I51" s="9" t="str">
        <x:v>chat membership</x:v>
      </x:c>
      <x:c r="J51" s="9" t="str">
        <x:v>Windows, Android</x:v>
      </x:c>
      <x:c r="K51" s="9" t="str">
        <x:v>lib/features/messenger/presentation/screens/messenger_screen.dart</x:v>
      </x:c>
      <x:c r="L51" s="9" t="str">
        <x:v>lib/core/services/magic_messenger_service.dart; server/src/messenger</x:v>
      </x:c>
      <x:c r="M51" s="9" t="str">
        <x:v>test/features/messenger; server/src/messenger/*.spec.ts</x:v>
      </x:c>
      <x:c r="N51" s="9" t="str">
        <x:v>CODE-BACKED</x:v>
      </x:c>
      <x:c r="O51" s="9" t="str">
        <x:v>PASS</x:v>
      </x:c>
      <x:c r="P51" s="9" t="str">
        <x:v>Post-fix acceptance passed for Open chat: 1 exact named test(s) matched and passed on build 1.2.3+156.</x:v>
      </x:c>
      <x:c r="Q51" s="9" t="str"/>
      <x:c r="R51" s="9" t="str">
        <x:v>P0</x:v>
      </x:c>
      <x:c r="S51" s="9" t="str">
        <x:v>2026-08-06</x:v>
      </x:c>
      <x:c r="T51" s="9" t="str">
        <x:v>evidence/server-test-json-final-156.json</x:v>
      </x:c>
      <x:c r="U51" s="9" t="str">
        <x:v>Server: server/src/messenger/messenger.policy.spec.ts :: MessengerPolicy allows chat members to read their own chat</x:v>
      </x:c>
    </x:row>
    <x:row r="52">
      <x:c r="A52" s="9" t="str">
        <x:v>CHAT-007</x:v>
      </x:c>
      <x:c r="B52" s="9" t="str">
        <x:v>Messenger</x:v>
      </x:c>
      <x:c r="C52" s="9" t="str">
        <x:v>Create direct chat</x:v>
      </x:c>
      <x:c r="D52" s="9" t="str">
        <x:v>пользователь</x:v>
      </x:c>
      <x:c r="E52" s="9" t="str">
        <x:v>Как пользователь, я хочу начать личный диалог, чтобы рабочий сценарий был предсказуемым.</x:v>
      </x:c>
      <x:c r="F52" s="9" t="str">
        <x:v>Пользователь вошёл; Chat destination разрешён.</x:v>
      </x:c>
      <x:c r="G52" s="9" t="str">
        <x:v>Открыть Chat и выполнить действие в списке/переписке/канале.</x:v>
      </x:c>
      <x:c r="H52" s="9" t="str">
        <x:v>Существующий direct chat переиспользуется; дубликат между той же парой не создаётся.</x:v>
      </x:c>
      <x:c r="I52" s="9" t="str">
        <x:v>per policy</x:v>
      </x:c>
      <x:c r="J52" s="9" t="str">
        <x:v>Windows, Android</x:v>
      </x:c>
      <x:c r="K52" s="9" t="str">
        <x:v>lib/features/messenger/presentation/screens/messenger_screen.dart</x:v>
      </x:c>
      <x:c r="L52" s="9" t="str">
        <x:v>lib/core/services/magic_messenger_service.dart; server/src/messenger</x:v>
      </x:c>
      <x:c r="M52" s="9" t="str">
        <x:v>test/features/messenger; server/src/messenger/*.spec.ts</x:v>
      </x:c>
      <x:c r="N52" s="9" t="str">
        <x:v>CODE-BACKED</x:v>
      </x:c>
      <x:c r="O52" s="9" t="str">
        <x:v>PASS</x:v>
      </x:c>
      <x:c r="P52" s="9" t="str">
        <x:v>Post-fix acceptance passed for Create direct chat: 1 exact named test(s) matched and passed on build 1.2.3+156.</x:v>
      </x:c>
      <x:c r="Q52" s="9" t="str"/>
      <x:c r="R52" s="9" t="str">
        <x:v>P1</x:v>
      </x:c>
      <x:c r="S52" s="9" t="str">
        <x:v>2026-08-06</x:v>
      </x:c>
      <x:c r="T52" s="9" t="str">
        <x:v>evidence/flutter-test-machine-final-156.ndjson</x:v>
      </x:c>
      <x:c r="U52" s="9" t="str">
        <x:v>Flutter: test/core/services/magic_messenger_service_test.dart :: MagicMessengerService creates direct chat and maps chat summary to legacy keys</x:v>
      </x:c>
    </x:row>
    <x:row r="53">
      <x:c r="A53" s="9" t="str">
        <x:v>CHAT-008</x:v>
      </x:c>
      <x:c r="B53" s="9" t="str">
        <x:v>Messenger</x:v>
      </x:c>
      <x:c r="C53" s="9" t="str">
        <x:v>Create group</x:v>
      </x:c>
      <x:c r="D53" s="9" t="str">
        <x:v>staff пользователь</x:v>
      </x:c>
      <x:c r="E53" s="9" t="str">
        <x:v>Как staff пользователь, я хочу создать групповой chat, чтобы рабочий сценарий был предсказуемым.</x:v>
      </x:c>
      <x:c r="F53" s="9" t="str">
        <x:v>Пользователь вошёл; Chat destination разрешён.</x:v>
      </x:c>
      <x:c r="G53" s="9" t="str">
        <x:v>Открыть Chat и выполнить действие в списке/переписке/канале.</x:v>
      </x:c>
      <x:c r="H53" s="9" t="str">
        <x:v>Валидные title/members создают один group и он появляется realtime у участников.</x:v>
      </x:c>
      <x:c r="I53" s="9" t="str">
        <x:v>staff/member policy</x:v>
      </x:c>
      <x:c r="J53" s="9" t="str">
        <x:v>Windows, Android</x:v>
      </x:c>
      <x:c r="K53" s="9" t="str">
        <x:v>lib/features/messenger/presentation/screens/messenger_screen.dart</x:v>
      </x:c>
      <x:c r="L53" s="9" t="str">
        <x:v>lib/core/services/magic_messenger_service.dart; server/src/messenger</x:v>
      </x:c>
      <x:c r="M53" s="9" t="str">
        <x:v>test/features/messenger; server/src/messenger/*.spec.ts</x:v>
      </x:c>
      <x:c r="N53" s="9" t="str">
        <x:v>CODE-BACKED</x:v>
      </x:c>
      <x:c r="O53" s="9" t="str">
        <x:v>PASS</x:v>
      </x:c>
      <x:c r="P53" s="9" t="str">
        <x:v>Post-fix acceptance passed for Create group: 1 exact named test(s) matched and passed on build 1.2.3+156.</x:v>
      </x:c>
      <x:c r="Q53" s="9" t="str"/>
      <x:c r="R53" s="9" t="str">
        <x:v>P1</x:v>
      </x:c>
      <x:c r="S53" s="9" t="str">
        <x:v>2026-08-06</x:v>
      </x:c>
      <x:c r="T53" s="9" t="str">
        <x:v>evidence/flutter-test-machine-final-156.ndjson</x:v>
      </x:c>
      <x:c r="U53" s="9" t="str">
        <x:v>Flutter: test/core/services/magic_messenger_service_test.dart :: MagicMessengerService creates groups and updates members through v3 API</x:v>
      </x:c>
    </x:row>
    <x:row r="54">
      <x:c r="A54" s="9" t="str">
        <x:v>CHAT-009</x:v>
      </x:c>
      <x:c r="B54" s="9" t="str">
        <x:v>Messenger</x:v>
      </x:c>
      <x:c r="C54" s="9" t="str">
        <x:v>Edit group members</x:v>
      </x:c>
      <x:c r="D54" s="9" t="str">
        <x:v>group manager</x:v>
      </x:c>
      <x:c r="E54" s="9" t="str">
        <x:v>Как group manager, я хочу изменить участников, чтобы рабочий сценарий был предсказуемым.</x:v>
      </x:c>
      <x:c r="F54" s="9" t="str">
        <x:v>Пользователь вошёл; Chat destination разрешён.</x:v>
      </x:c>
      <x:c r="G54" s="9" t="str">
        <x:v>Открыть Chat и выполнить действие в списке/переписке/канале.</x:v>
      </x:c>
      <x:c r="H54" s="9" t="str">
        <x:v>Только разрешённый actor меняет membership; UI и realtime отражают итоговый состав.</x:v>
      </x:c>
      <x:c r="I54" s="9" t="str">
        <x:v>group policy</x:v>
      </x:c>
      <x:c r="J54" s="9" t="str">
        <x:v>Windows, Android</x:v>
      </x:c>
      <x:c r="K54" s="9" t="str">
        <x:v>lib/features/messenger/presentation/screens/messenger_screen.dart</x:v>
      </x:c>
      <x:c r="L54" s="9" t="str">
        <x:v>lib/core/services/magic_messenger_service.dart; server/src/messenger</x:v>
      </x:c>
      <x:c r="M54" s="9" t="str">
        <x:v>test/features/messenger; server/src/messenger/*.spec.ts</x:v>
      </x:c>
      <x:c r="N54" s="9" t="str">
        <x:v>CODE-BACKED</x:v>
      </x:c>
      <x:c r="O54" s="9" t="str">
        <x:v>PASS</x:v>
      </x:c>
      <x:c r="P54" s="9" t="str">
        <x:v>Post-fix acceptance passed for Edit group members: 1 exact named test(s) matched and passed on build 1.2.3+156.</x:v>
      </x:c>
      <x:c r="Q54" s="9" t="str"/>
      <x:c r="R54" s="9" t="str">
        <x:v>P1</x:v>
      </x:c>
      <x:c r="S54" s="9" t="str">
        <x:v>2026-08-06</x:v>
      </x:c>
      <x:c r="T54" s="9" t="str">
        <x:v>evidence/flutter-test-machine-final-156.ndjson</x:v>
      </x:c>
      <x:c r="U54" s="9" t="str">
        <x:v>Flutter: test/core/services/magic_messenger_service_test.dart :: MagicMessengerService creates groups and updates members through v3 API</x:v>
      </x:c>
    </x:row>
    <x:row r="55">
      <x:c r="A55" s="9" t="str">
        <x:v>CHAT-010</x:v>
      </x:c>
      <x:c r="B55" s="9" t="str">
        <x:v>Messenger</x:v>
      </x:c>
      <x:c r="C55" s="9" t="str">
        <x:v>Leave group</x:v>
      </x:c>
      <x:c r="D55" s="9" t="str">
        <x:v>участник группы</x:v>
      </x:c>
      <x:c r="E55" s="9" t="str">
        <x:v>Как участник группы, я хочу покинуть группу, чтобы рабочий сценарий был предсказуемым.</x:v>
      </x:c>
      <x:c r="F55" s="9" t="str">
        <x:v>Пользователь вошёл; Chat destination разрешён.</x:v>
      </x:c>
      <x:c r="G55" s="9" t="str">
        <x:v>Открыть Chat и выполнить действие в списке/переписке/канале.</x:v>
      </x:c>
      <x:c r="H55" s="9" t="str">
        <x:v>Membership удаляется, chat исчезает/становится недоступен, повторное leave идемпотентно для UX.</x:v>
      </x:c>
      <x:c r="I55" s="9" t="str">
        <x:v>self membership</x:v>
      </x:c>
      <x:c r="J55" s="9" t="str">
        <x:v>Windows, Android</x:v>
      </x:c>
      <x:c r="K55" s="9" t="str">
        <x:v>lib/features/messenger/presentation/screens/messenger_screen.dart</x:v>
      </x:c>
      <x:c r="L55" s="9" t="str">
        <x:v>lib/core/services/magic_messenger_service.dart; server/src/messenger</x:v>
      </x:c>
      <x:c r="M55" s="9" t="str">
        <x:v>test/features/messenger; server/src/messenger/*.spec.ts</x:v>
      </x:c>
      <x:c r="N55" s="9" t="str">
        <x:v>CODE-BACKED</x:v>
      </x:c>
      <x:c r="O55" s="9" t="str">
        <x:v>PASS</x:v>
      </x:c>
      <x:c r="P55" s="9" t="str">
        <x:v>Post-fix acceptance passed for Leave group: 1 exact named test(s) matched and passed on build 1.2.3+156.</x:v>
      </x:c>
      <x:c r="Q55" s="9" t="str"/>
      <x:c r="R55" s="9" t="str">
        <x:v>P1</x:v>
      </x:c>
      <x:c r="S55" s="9" t="str">
        <x:v>2026-08-06</x:v>
      </x:c>
      <x:c r="T55" s="9" t="str">
        <x:v>evidence/flutter-test-machine-final-156.ndjson</x:v>
      </x:c>
      <x:c r="U55" s="9" t="str">
        <x:v>Flutter: test/core/services/magic_messenger_service_test.dart :: MagicMessengerService leaveGroup posts to groups/:id/leave</x:v>
      </x:c>
    </x:row>
    <x:row r="56">
      <x:c r="A56" s="9" t="str">
        <x:v>CHAT-011</x:v>
      </x:c>
      <x:c r="B56" s="9" t="str">
        <x:v>Messenger</x:v>
      </x:c>
      <x:c r="C56" s="9" t="str">
        <x:v>Send text</x:v>
      </x:c>
      <x:c r="D56" s="9" t="str">
        <x:v>участник chat</x:v>
      </x:c>
      <x:c r="E56" s="9" t="str">
        <x:v>Как участник chat, я хочу отправить сообщение, чтобы рабочий сценарий был предсказуемым.</x:v>
      </x:c>
      <x:c r="F56" s="9" t="str">
        <x:v>Пользователь вошёл; Chat destination разрешён.</x:v>
      </x:c>
      <x:c r="G56" s="9" t="str">
        <x:v>Открыть Chat и выполнить действие в списке/переписке/канале.</x:v>
      </x:c>
      <x:c r="H56" s="9" t="str">
        <x:v>Непустой текст создаёт одно message, pending state заменяется server result, duplicate tap не создаёт двойную запись.</x:v>
      </x:c>
      <x:c r="I56" s="9" t="str">
        <x:v>chat write</x:v>
      </x:c>
      <x:c r="J56" s="9" t="str">
        <x:v>Windows, Android</x:v>
      </x:c>
      <x:c r="K56" s="9" t="str">
        <x:v>lib/features/messenger/presentation/screens/messenger_screen.dart</x:v>
      </x:c>
      <x:c r="L56" s="9" t="str">
        <x:v>lib/core/services/magic_messenger_service.dart; server/src/messenger</x:v>
      </x:c>
      <x:c r="M56" s="9" t="str">
        <x:v>test/features/messenger; server/src/messenger/*.spec.ts</x:v>
      </x:c>
      <x:c r="N56" s="9" t="str">
        <x:v>CODE-BACKED</x:v>
      </x:c>
      <x:c r="O56" s="9" t="str">
        <x:v>PASS</x:v>
      </x:c>
      <x:c r="P56" s="9" t="str">
        <x:v>Post-fix acceptance passed for Send text: 1 exact named test(s) matched and passed on build 1.2.3+156.</x:v>
      </x:c>
      <x:c r="Q56" s="9" t="str"/>
      <x:c r="R56" s="9" t="str">
        <x:v>P0</x:v>
      </x:c>
      <x:c r="S56" s="9" t="str">
        <x:v>2026-08-06</x:v>
      </x:c>
      <x:c r="T56" s="9" t="str">
        <x:v>evidence/flutter-test-machine-final-156.ndjson</x:v>
      </x:c>
      <x:c r="U56" s="9" t="str">
        <x:v>Flutter: test/core/services/magic_messenger_service_test.dart :: MagicMessengerService sends text message and marks chat as read</x:v>
      </x:c>
    </x:row>
    <x:row r="57">
      <x:c r="A57" s="9" t="str">
        <x:v>CHAT-012</x:v>
      </x:c>
      <x:c r="B57" s="9" t="str">
        <x:v>Messenger</x:v>
      </x:c>
      <x:c r="C57" s="9" t="str">
        <x:v>Reply</x:v>
      </x:c>
      <x:c r="D57" s="9" t="str">
        <x:v>участник chat</x:v>
      </x:c>
      <x:c r="E57" s="9" t="str">
        <x:v>Как участник chat, я хочу ответить на конкретное message, чтобы рабочий сценарий был предсказуемым.</x:v>
      </x:c>
      <x:c r="F57" s="9" t="str">
        <x:v>Пользователь вошёл; Chat destination разрешён.</x:v>
      </x:c>
      <x:c r="G57" s="9" t="str">
        <x:v>Открыть Chat и выполнить действие в списке/переписке/канале.</x:v>
      </x:c>
      <x:c r="H57" s="9" t="str">
        <x:v>Reply reference сохраняется и отображает actor-safe preview исходного сообщения.</x:v>
      </x:c>
      <x:c r="I57" s="9" t="str">
        <x:v>chat write</x:v>
      </x:c>
      <x:c r="J57" s="9" t="str">
        <x:v>Windows, Android</x:v>
      </x:c>
      <x:c r="K57" s="9" t="str">
        <x:v>lib/features/messenger/presentation/screens/messenger_screen.dart</x:v>
      </x:c>
      <x:c r="L57" s="9" t="str">
        <x:v>lib/core/services/magic_messenger_service.dart; server/src/messenger</x:v>
      </x:c>
      <x:c r="M57" s="9" t="str">
        <x:v>test/features/messenger; server/src/messenger/*.spec.ts</x:v>
      </x:c>
      <x:c r="N57" s="9" t="str">
        <x:v>CODE-BACKED</x:v>
      </x:c>
      <x:c r="O57" s="9" t="str">
        <x:v>PASS</x:v>
      </x:c>
      <x:c r="P57" s="9" t="str">
        <x:v>Post-fix acceptance passed for Reply: 1 exact named test(s) matched and passed on build 1.2.3+156.</x:v>
      </x:c>
      <x:c r="Q57" s="9" t="str"/>
      <x:c r="R57" s="9" t="str">
        <x:v>P1</x:v>
      </x:c>
      <x:c r="S57" s="9" t="str">
        <x:v>2026-08-06</x:v>
      </x:c>
      <x:c r="T57" s="9" t="str">
        <x:v>evidence/flutter-test-machine-final-156.ndjson</x:v>
      </x:c>
      <x:c r="U57" s="9" t="str">
        <x:v>Flutter: test/core/services/magic_messenger_service_test.dart :: MagicMessengerService sends a reply with the selected source message id</x:v>
      </x:c>
    </x:row>
    <x:row r="58">
      <x:c r="A58" s="9" t="str">
        <x:v>CHAT-013</x:v>
      </x:c>
      <x:c r="B58" s="9" t="str">
        <x:v>Messenger</x:v>
      </x:c>
      <x:c r="C58" s="9" t="str">
        <x:v>Forward</x:v>
      </x:c>
      <x:c r="D58" s="9" t="str">
        <x:v>участник chat</x:v>
      </x:c>
      <x:c r="E58" s="9" t="str">
        <x:v>Как участник chat, я хочу переслать message, чтобы рабочий сценарий был предсказуемым.</x:v>
      </x:c>
      <x:c r="F58" s="9" t="str">
        <x:v>Пользователь вошёл; Chat destination разрешён.</x:v>
      </x:c>
      <x:c r="G58" s="9" t="str">
        <x:v>Открыть Chat и выполнить действие в списке/переписке/канале.</x:v>
      </x:c>
      <x:c r="H58" s="9" t="str">
        <x:v>Выбранное сообщение отправляется один раз в разрешённый target chat с понятным attribution.</x:v>
      </x:c>
      <x:c r="I58" s="9" t="str">
        <x:v>source read + target write</x:v>
      </x:c>
      <x:c r="J58" s="9" t="str">
        <x:v>Windows, Android</x:v>
      </x:c>
      <x:c r="K58" s="9" t="str">
        <x:v>lib/features/messenger/presentation/screens/messenger_screen.dart</x:v>
      </x:c>
      <x:c r="L58" s="9" t="str">
        <x:v>lib/core/services/magic_messenger_service.dart; server/src/messenger</x:v>
      </x:c>
      <x:c r="M58" s="9" t="str">
        <x:v>test/features/messenger; server/src/messenger/*.spec.ts</x:v>
      </x:c>
      <x:c r="N58" s="9" t="str">
        <x:v>CODE-BACKED</x:v>
      </x:c>
      <x:c r="O58" s="9" t="str">
        <x:v>PASS</x:v>
      </x:c>
      <x:c r="P58" s="9" t="str">
        <x:v>Post-fix acceptance passed for Forward: 1 exact named test(s) matched and passed on build 1.2.3+156.</x:v>
      </x:c>
      <x:c r="Q58" s="9" t="str"/>
      <x:c r="R58" s="9" t="str">
        <x:v>P1</x:v>
      </x:c>
      <x:c r="S58" s="9" t="str">
        <x:v>2026-08-06</x:v>
      </x:c>
      <x:c r="T58" s="9" t="str">
        <x:v>evidence/flutter-test-machine-final-156.ndjson</x:v>
      </x:c>
      <x:c r="U58" s="9" t="str">
        <x:v>Flutter: test/core/services/magic_messenger_service_test.dart :: MagicMessengerService uses v3 edit, moderation, pin and reaction endpoints</x:v>
      </x:c>
    </x:row>
    <x:row r="59">
      <x:c r="A59" s="9" t="str">
        <x:v>CHAT-014</x:v>
      </x:c>
      <x:c r="B59" s="9" t="str">
        <x:v>Messenger</x:v>
      </x:c>
      <x:c r="C59" s="9" t="str">
        <x:v>Edit message</x:v>
      </x:c>
      <x:c r="D59" s="9" t="str">
        <x:v>автор сообщения</x:v>
      </x:c>
      <x:c r="E59" s="9" t="str">
        <x:v>Как автор сообщения, я хочу исправить своё сообщение, чтобы рабочий сценарий был предсказуемым.</x:v>
      </x:c>
      <x:c r="F59" s="9" t="str">
        <x:v>Пользователь вошёл; Chat destination разрешён.</x:v>
      </x:c>
      <x:c r="G59" s="9" t="str">
        <x:v>Открыть Chat и выполнить действие в списке/переписке/канале.</x:v>
      </x:c>
      <x:c r="H59" s="9" t="str">
        <x:v>Допустимое message обновляется, edited state виден realtime; чужое edit запрещено.</x:v>
      </x:c>
      <x:c r="I59" s="9" t="str">
        <x:v>message owner/policy</x:v>
      </x:c>
      <x:c r="J59" s="9" t="str">
        <x:v>Windows, Android</x:v>
      </x:c>
      <x:c r="K59" s="9" t="str">
        <x:v>lib/features/messenger/presentation/screens/messenger_screen.dart</x:v>
      </x:c>
      <x:c r="L59" s="9" t="str">
        <x:v>lib/core/services/magic_messenger_service.dart; server/src/messenger</x:v>
      </x:c>
      <x:c r="M59" s="9" t="str">
        <x:v>test/features/messenger; server/src/messenger/*.spec.ts</x:v>
      </x:c>
      <x:c r="N59" s="9" t="str">
        <x:v>CODE-BACKED</x:v>
      </x:c>
      <x:c r="O59" s="9" t="str">
        <x:v>PASS</x:v>
      </x:c>
      <x:c r="P59" s="9" t="str">
        <x:v>Post-fix acceptance passed for Edit message: 1 exact named test(s) matched and passed on build 1.2.3+156.</x:v>
      </x:c>
      <x:c r="Q59" s="9" t="str"/>
      <x:c r="R59" s="9" t="str">
        <x:v>P1</x:v>
      </x:c>
      <x:c r="S59" s="9" t="str">
        <x:v>2026-08-06</x:v>
      </x:c>
      <x:c r="T59" s="9" t="str">
        <x:v>evidence/flutter-test-machine-final-156.ndjson</x:v>
      </x:c>
      <x:c r="U59" s="9" t="str">
        <x:v>Flutter: test/core/services/magic_messenger_service_test.dart :: MagicMessengerService uses v3 edit, moderation, pin and reaction endpoints</x:v>
      </x:c>
    </x:row>
    <x:row r="60">
      <x:c r="A60" s="9" t="str">
        <x:v>CHAT-015</x:v>
      </x:c>
      <x:c r="B60" s="9" t="str">
        <x:v>Messenger</x:v>
      </x:c>
      <x:c r="C60" s="9" t="str">
        <x:v>Delete message</x:v>
      </x:c>
      <x:c r="D60" s="9" t="str">
        <x:v>разрешённый пользователь</x:v>
      </x:c>
      <x:c r="E60" s="9" t="str">
        <x:v>Как разрешённый пользователь, я хочу удалить сообщение, чтобы рабочий сценарий был предсказуемым.</x:v>
      </x:c>
      <x:c r="F60" s="9" t="str">
        <x:v>Пользователь вошёл; Chat destination разрешён.</x:v>
      </x:c>
      <x:c r="G60" s="9" t="str">
        <x:v>Открыть Chat и выполнить действие в списке/переписке/канале.</x:v>
      </x:c>
      <x:c r="H60" s="9" t="str">
        <x:v>После подтверждения message удаляется/маркируется по server policy и обновляется realtime.</x:v>
      </x:c>
      <x:c r="I60" s="9" t="str">
        <x:v>message owner/moderator</x:v>
      </x:c>
      <x:c r="J60" s="9" t="str">
        <x:v>Windows, Android</x:v>
      </x:c>
      <x:c r="K60" s="9" t="str">
        <x:v>lib/features/messenger/presentation/screens/messenger_screen.dart</x:v>
      </x:c>
      <x:c r="L60" s="9" t="str">
        <x:v>lib/core/services/magic_messenger_service.dart; server/src/messenger</x:v>
      </x:c>
      <x:c r="M60" s="9" t="str">
        <x:v>test/features/messenger; server/src/messenger/*.spec.ts</x:v>
      </x:c>
      <x:c r="N60" s="9" t="str">
        <x:v>CODE-BACKED</x:v>
      </x:c>
      <x:c r="O60" s="9" t="str">
        <x:v>PASS</x:v>
      </x:c>
      <x:c r="P60" s="9" t="str">
        <x:v>Post-fix acceptance passed for Delete message: 1 exact named test(s) matched and passed on build 1.2.3+156.</x:v>
      </x:c>
      <x:c r="Q60" s="9" t="str"/>
      <x:c r="R60" s="9" t="str">
        <x:v>P1</x:v>
      </x:c>
      <x:c r="S60" s="9" t="str">
        <x:v>2026-08-06</x:v>
      </x:c>
      <x:c r="T60" s="9" t="str">
        <x:v>evidence/server-test-json-final-156.json</x:v>
      </x:c>
      <x:c r="U60" s="9" t="str">
        <x:v>Server: server/src/messenger/message.service.spec.ts :: MessageService staff-identity masking on message.updated realtime paths deleteMessage masks senderId for a STAFF author in an administration chat</x:v>
      </x:c>
    </x:row>
    <x:row r="61">
      <x:c r="A61" s="9" t="str">
        <x:v>CHAT-016</x:v>
      </x:c>
      <x:c r="B61" s="9" t="str">
        <x:v>Messenger</x:v>
      </x:c>
      <x:c r="C61" s="9" t="str">
        <x:v>Upload attachment</x:v>
      </x:c>
      <x:c r="D61" s="9" t="str">
        <x:v>участник chat</x:v>
      </x:c>
      <x:c r="E61" s="9" t="str">
        <x:v>Как участник chat, я хочу отправить файл, чтобы рабочий сценарий был предсказуемым.</x:v>
      </x:c>
      <x:c r="F61" s="9" t="str">
        <x:v>Пользователь вошёл; Chat destination разрешён.</x:v>
      </x:c>
      <x:c r="G61" s="9" t="str">
        <x:v>Открыть Chat и выполнить действие в списке/переписке/канале.</x:v>
      </x:c>
      <x:c r="H61" s="9" t="str">
        <x:v>Файл загружается через file service; message создаётся только с валидной ссылкой, ошибка upload не создаёт пустое сообщение.</x:v>
      </x:c>
      <x:c r="I61" s="9" t="str">
        <x:v>chat write/file limits</x:v>
      </x:c>
      <x:c r="J61" s="9" t="str">
        <x:v>Windows, Android</x:v>
      </x:c>
      <x:c r="K61" s="9" t="str">
        <x:v>lib/features/messenger/presentation/screens/messenger_screen.dart</x:v>
      </x:c>
      <x:c r="L61" s="9" t="str">
        <x:v>lib/core/services/magic_messenger_service.dart; server/src/messenger</x:v>
      </x:c>
      <x:c r="M61" s="9" t="str">
        <x:v>test/features/messenger; server/src/messenger/*.spec.ts</x:v>
      </x:c>
      <x:c r="N61" s="9" t="str">
        <x:v>CODE-BACKED</x:v>
      </x:c>
      <x:c r="O61" s="9" t="str">
        <x:v>PASS</x:v>
      </x:c>
      <x:c r="P61" s="9" t="str">
        <x:v>Post-fix acceptance passed for Upload attachment: 1 exact named test(s) matched and passed on build 1.2.3+156.</x:v>
      </x:c>
      <x:c r="Q61" s="9" t="str"/>
      <x:c r="R61" s="9" t="str">
        <x:v>P0</x:v>
      </x:c>
      <x:c r="S61" s="9" t="str">
        <x:v>2026-08-06</x:v>
      </x:c>
      <x:c r="T61" s="9" t="str">
        <x:v>evidence/server-test-json-final-156.json</x:v>
      </x:c>
      <x:c r="U61" s="9" t="str">
        <x:v>Server: server/src/messenger/messenger.service.spec.ts :: MessengerService rejects message attachmentFileId that is not an active chat attachment for the chat</x:v>
      </x:c>
    </x:row>
    <x:row r="62">
      <x:c r="A62" s="9" t="str">
        <x:v>CHAT-017</x:v>
      </x:c>
      <x:c r="B62" s="9" t="str">
        <x:v>Messenger</x:v>
      </x:c>
      <x:c r="C62" s="9" t="str">
        <x:v>Voice message</x:v>
      </x:c>
      <x:c r="D62" s="9" t="str">
        <x:v>участник chat</x:v>
      </x:c>
      <x:c r="E62" s="9" t="str">
        <x:v>Как участник chat, я хочу записать и отправить голосовое, чтобы рабочий сценарий был предсказуемым.</x:v>
      </x:c>
      <x:c r="F62" s="9" t="str">
        <x:v>Пользователь вошёл; Chat destination разрешён.</x:v>
      </x:c>
      <x:c r="G62" s="9" t="str">
        <x:v>Открыть Chat и выполнить действие в списке/переписке/канале.</x:v>
      </x:c>
      <x:c r="H62" s="9" t="str">
        <x:v>Запись можно отменить; успешный upload создаёт playable message, ошибка оставляет возможность повторить.</x:v>
      </x:c>
      <x:c r="I62" s="9" t="str">
        <x:v>chat write/media permissions</x:v>
      </x:c>
      <x:c r="J62" s="9" t="str">
        <x:v>Windows, Android</x:v>
      </x:c>
      <x:c r="K62" s="9" t="str">
        <x:v>lib/features/messenger/presentation/screens/messenger_screen.dart</x:v>
      </x:c>
      <x:c r="L62" s="9" t="str">
        <x:v>lib/core/services/magic_messenger_service.dart; server/src/messenger</x:v>
      </x:c>
      <x:c r="M62" s="9" t="str">
        <x:v>test/features/messenger; server/src/messenger/*.spec.ts</x:v>
      </x:c>
      <x:c r="N62" s="9" t="str">
        <x:v>CODE-BACKED</x:v>
      </x:c>
      <x:c r="O62" s="9" t="str">
        <x:v>PASS</x:v>
      </x:c>
      <x:c r="P62" s="9" t="str">
        <x:v>Post-fix acceptance passed for Voice message: 1 exact named test(s) matched and passed on build 1.2.3+156.</x:v>
      </x:c>
      <x:c r="Q62" s="9" t="str"/>
      <x:c r="R62" s="9" t="str">
        <x:v>P0</x:v>
      </x:c>
      <x:c r="S62" s="9" t="str">
        <x:v>2026-08-06</x:v>
      </x:c>
      <x:c r="T62" s="9" t="str">
        <x:v>evidence/flutter-test-machine-final-156.ndjson</x:v>
      </x:c>
      <x:c r="U62" s="9" t="str">
        <x:v>Flutter: test/core/services/chat_attachment_service_test.dart :: uploads voice messages with chat_voice purpose</x:v>
      </x:c>
    </x:row>
    <x:row r="63">
      <x:c r="A63" s="9" t="str">
        <x:v>CHAT-018</x:v>
      </x:c>
      <x:c r="B63" s="9" t="str">
        <x:v>Messenger</x:v>
      </x:c>
      <x:c r="C63" s="9" t="str">
        <x:v>Add reaction</x:v>
      </x:c>
      <x:c r="D63" s="9" t="str">
        <x:v>участник chat</x:v>
      </x:c>
      <x:c r="E63" s="9" t="str">
        <x:v>Как участник chat, я хочу добавить реакцию, чтобы рабочий сценарий был предсказуемым.</x:v>
      </x:c>
      <x:c r="F63" s="9" t="str">
        <x:v>Пользователь вошёл; Chat destination разрешён.</x:v>
      </x:c>
      <x:c r="G63" s="9" t="str">
        <x:v>Открыть Chat и выполнить действие в списке/переписке/канале.</x:v>
      </x:c>
      <x:c r="H63" s="9" t="str">
        <x:v>Emoji добавляется один раз от пользователя и синхронизируется realtime.</x:v>
      </x:c>
      <x:c r="I63" s="9" t="str">
        <x:v>chat member</x:v>
      </x:c>
      <x:c r="J63" s="9" t="str">
        <x:v>Windows, Android</x:v>
      </x:c>
      <x:c r="K63" s="9" t="str">
        <x:v>lib/features/messenger/presentation/screens/messenger_screen.dart</x:v>
      </x:c>
      <x:c r="L63" s="9" t="str">
        <x:v>lib/core/services/magic_messenger_service.dart; server/src/messenger</x:v>
      </x:c>
      <x:c r="M63" s="9" t="str">
        <x:v>test/features/messenger; server/src/messenger/*.spec.ts</x:v>
      </x:c>
      <x:c r="N63" s="9" t="str">
        <x:v>CODE-BACKED</x:v>
      </x:c>
      <x:c r="O63" s="9" t="str">
        <x:v>PASS</x:v>
      </x:c>
      <x:c r="P63" s="9" t="str">
        <x:v>Post-fix acceptance passed for Add reaction: 1 exact named test(s) matched and passed on build 1.2.3+156.</x:v>
      </x:c>
      <x:c r="Q63" s="9" t="str"/>
      <x:c r="R63" s="9" t="str">
        <x:v>P2</x:v>
      </x:c>
      <x:c r="S63" s="9" t="str">
        <x:v>2026-08-06</x:v>
      </x:c>
      <x:c r="T63" s="9" t="str">
        <x:v>evidence/flutter-test-machine-final-156.ndjson</x:v>
      </x:c>
      <x:c r="U63" s="9" t="str">
        <x:v>Flutter: test/core/services/magic_messenger_service_test.dart :: MagicMessengerService uses v3 edit, moderation, pin and reaction endpoints</x:v>
      </x:c>
    </x:row>
    <x:row r="64">
      <x:c r="A64" s="9" t="str">
        <x:v>CHAT-019</x:v>
      </x:c>
      <x:c r="B64" s="9" t="str">
        <x:v>Messenger</x:v>
      </x:c>
      <x:c r="C64" s="9" t="str">
        <x:v>Remove reaction</x:v>
      </x:c>
      <x:c r="D64" s="9" t="str">
        <x:v>участник chat</x:v>
      </x:c>
      <x:c r="E64" s="9" t="str">
        <x:v>Как участник chat, я хочу убрать свою реакцию, чтобы рабочий сценарий был предсказуемым.</x:v>
      </x:c>
      <x:c r="F64" s="9" t="str">
        <x:v>Пользователь вошёл; Chat destination разрешён.</x:v>
      </x:c>
      <x:c r="G64" s="9" t="str">
        <x:v>Открыть Chat и выполнить действие в списке/переписке/канале.</x:v>
      </x:c>
      <x:c r="H64" s="9" t="str">
        <x:v>Удаляется только собственная реакция; итоговый count обновляется.</x:v>
      </x:c>
      <x:c r="I64" s="9" t="str">
        <x:v>self reaction</x:v>
      </x:c>
      <x:c r="J64" s="9" t="str">
        <x:v>Windows, Android</x:v>
      </x:c>
      <x:c r="K64" s="9" t="str">
        <x:v>lib/features/messenger/presentation/screens/messenger_screen.dart</x:v>
      </x:c>
      <x:c r="L64" s="9" t="str">
        <x:v>lib/core/services/magic_messenger_service.dart; server/src/messenger</x:v>
      </x:c>
      <x:c r="M64" s="9" t="str">
        <x:v>test/features/messenger; server/src/messenger/*.spec.ts</x:v>
      </x:c>
      <x:c r="N64" s="9" t="str">
        <x:v>CODE-BACKED</x:v>
      </x:c>
      <x:c r="O64" s="9" t="str">
        <x:v>PASS</x:v>
      </x:c>
      <x:c r="P64" s="9" t="str">
        <x:v>Post-fix acceptance passed for Remove reaction: 1 exact named test(s) matched and passed on build 1.2.3+156.</x:v>
      </x:c>
      <x:c r="Q64" s="9" t="str"/>
      <x:c r="R64" s="9" t="str">
        <x:v>P2</x:v>
      </x:c>
      <x:c r="S64" s="9" t="str">
        <x:v>2026-08-06</x:v>
      </x:c>
      <x:c r="T64" s="9" t="str">
        <x:v>evidence/flutter-test-machine-final-156.ndjson</x:v>
      </x:c>
      <x:c r="U64" s="9" t="str">
        <x:v>Flutter: test/core/services/magic_messenger_service_test.dart :: MagicMessengerService uses v3 edit, moderation, pin and reaction endpoints</x:v>
      </x:c>
    </x:row>
    <x:row r="65">
      <x:c r="A65" s="9" t="str">
        <x:v>CHAT-020</x:v>
      </x:c>
      <x:c r="B65" s="9" t="str">
        <x:v>Messenger</x:v>
      </x:c>
      <x:c r="C65" s="9" t="str">
        <x:v>Pin message</x:v>
      </x:c>
      <x:c r="D65" s="9" t="str">
        <x:v>разрешённый участник</x:v>
      </x:c>
      <x:c r="E65" s="9" t="str">
        <x:v>Как разрешённый участник, я хочу закрепить важное сообщение, чтобы рабочий сценарий был предсказуемым.</x:v>
      </x:c>
      <x:c r="F65" s="9" t="str">
        <x:v>Пользователь вошёл; Chat destination разрешён.</x:v>
      </x:c>
      <x:c r="G65" s="9" t="str">
        <x:v>Открыть Chat и выполнить действие в списке/переписке/канале.</x:v>
      </x:c>
      <x:c r="H65" s="9" t="str">
        <x:v>Pin сохраняется один раз и доступен участникам; forbidden actor не видит mutation.</x:v>
      </x:c>
      <x:c r="I65" s="9" t="str">
        <x:v>chat policy</x:v>
      </x:c>
      <x:c r="J65" s="9" t="str">
        <x:v>Windows, Android</x:v>
      </x:c>
      <x:c r="K65" s="9" t="str">
        <x:v>lib/features/messenger/presentation/screens/messenger_screen.dart</x:v>
      </x:c>
      <x:c r="L65" s="9" t="str">
        <x:v>lib/core/services/magic_messenger_service.dart; server/src/messenger</x:v>
      </x:c>
      <x:c r="M65" s="9" t="str">
        <x:v>test/features/messenger; server/src/messenger/*.spec.ts</x:v>
      </x:c>
      <x:c r="N65" s="9" t="str">
        <x:v>CODE-BACKED</x:v>
      </x:c>
      <x:c r="O65" s="9" t="str">
        <x:v>PASS</x:v>
      </x:c>
      <x:c r="P65" s="9" t="str">
        <x:v>Post-fix acceptance passed for Pin message: 1 exact named test(s) matched and passed on build 1.2.3+156.</x:v>
      </x:c>
      <x:c r="Q65" s="9" t="str"/>
      <x:c r="R65" s="9" t="str">
        <x:v>P2</x:v>
      </x:c>
      <x:c r="S65" s="9" t="str">
        <x:v>2026-08-06</x:v>
      </x:c>
      <x:c r="T65" s="9" t="str">
        <x:v>evidence/server-test-json-final-156.json</x:v>
      </x:c>
      <x:c r="U65" s="9" t="str">
        <x:v>Server: server/src/messenger/message.service.spec.ts :: MessageService staff-identity masking on message.updated realtime paths pinMessage masks senderId for a STAFF author in an administration chat</x:v>
      </x:c>
    </x:row>
    <x:row r="66">
      <x:c r="A66" s="9" t="str">
        <x:v>CHAT-021</x:v>
      </x:c>
      <x:c r="B66" s="9" t="str">
        <x:v>Messenger</x:v>
      </x:c>
      <x:c r="C66" s="9" t="str">
        <x:v>Unpin message</x:v>
      </x:c>
      <x:c r="D66" s="9" t="str">
        <x:v>разрешённый участник</x:v>
      </x:c>
      <x:c r="E66" s="9" t="str">
        <x:v>Как разрешённый участник, я хочу снять закрепление, чтобы рабочий сценарий был предсказуемым.</x:v>
      </x:c>
      <x:c r="F66" s="9" t="str">
        <x:v>Пользователь вошёл; Chat destination разрешён.</x:v>
      </x:c>
      <x:c r="G66" s="9" t="str">
        <x:v>Открыть Chat и выполнить действие в списке/переписке/канале.</x:v>
      </x:c>
      <x:c r="H66" s="9" t="str">
        <x:v>Pin удаляется и список обновляется без удаления самого message.</x:v>
      </x:c>
      <x:c r="I66" s="9" t="str">
        <x:v>chat policy</x:v>
      </x:c>
      <x:c r="J66" s="9" t="str">
        <x:v>Windows, Android</x:v>
      </x:c>
      <x:c r="K66" s="9" t="str">
        <x:v>lib/features/messenger/presentation/screens/messenger_screen.dart</x:v>
      </x:c>
      <x:c r="L66" s="9" t="str">
        <x:v>lib/core/services/magic_messenger_service.dart; server/src/messenger</x:v>
      </x:c>
      <x:c r="M66" s="9" t="str">
        <x:v>test/features/messenger; server/src/messenger/*.spec.ts</x:v>
      </x:c>
      <x:c r="N66" s="9" t="str">
        <x:v>CODE-BACKED</x:v>
      </x:c>
      <x:c r="O66" s="9" t="str">
        <x:v>PASS</x:v>
      </x:c>
      <x:c r="P66" s="9" t="str">
        <x:v>Post-fix acceptance passed for Unpin message: 1 exact named test(s) matched and passed on build 1.2.3+156.</x:v>
      </x:c>
      <x:c r="Q66" s="9" t="str"/>
      <x:c r="R66" s="9" t="str">
        <x:v>P2</x:v>
      </x:c>
      <x:c r="S66" s="9" t="str">
        <x:v>2026-08-06</x:v>
      </x:c>
      <x:c r="T66" s="9" t="str">
        <x:v>evidence/server-test-json-final-156.json</x:v>
      </x:c>
      <x:c r="U66" s="9" t="str">
        <x:v>Server: server/src/messenger/message.service.spec.ts :: MessageService staff-identity masking on message.updated realtime paths unpinMessage masks senderId for a STAFF author in an administration chat</x:v>
      </x:c>
    </x:row>
    <x:row r="67">
      <x:c r="A67" s="9" t="str">
        <x:v>CHAT-022</x:v>
      </x:c>
      <x:c r="B67" s="9" t="str">
        <x:v>Messenger</x:v>
      </x:c>
      <x:c r="C67" s="9" t="str">
        <x:v>Mark read</x:v>
      </x:c>
      <x:c r="D67" s="9" t="str">
        <x:v>участник chat</x:v>
      </x:c>
      <x:c r="E67" s="9" t="str">
        <x:v>Как участник chat, я хочу отметить просмотренное, чтобы рабочий сценарий был предсказуемым.</x:v>
      </x:c>
      <x:c r="F67" s="9" t="str">
        <x:v>Пользователь вошёл; Chat destination разрешён.</x:v>
      </x:c>
      <x:c r="G67" s="9" t="str">
        <x:v>Открыть Chat и выполнить действие в списке/переписке/канале.</x:v>
      </x:c>
      <x:c r="H67" s="9" t="str">
        <x:v>Last-read message обновляется монотонно; unread уменьшается без потери новых сообщений.</x:v>
      </x:c>
      <x:c r="I67" s="9" t="str">
        <x:v>self membership</x:v>
      </x:c>
      <x:c r="J67" s="9" t="str">
        <x:v>Windows, Android</x:v>
      </x:c>
      <x:c r="K67" s="9" t="str">
        <x:v>lib/features/messenger/presentation/screens/messenger_screen.dart</x:v>
      </x:c>
      <x:c r="L67" s="9" t="str">
        <x:v>lib/core/services/magic_messenger_service.dart; server/src/messenger</x:v>
      </x:c>
      <x:c r="M67" s="9" t="str">
        <x:v>test/features/messenger; server/src/messenger/*.spec.ts</x:v>
      </x:c>
      <x:c r="N67" s="9" t="str">
        <x:v>CODE-BACKED</x:v>
      </x:c>
      <x:c r="O67" s="9" t="str">
        <x:v>PASS</x:v>
      </x:c>
      <x:c r="P67" s="9" t="str">
        <x:v>Post-fix acceptance passed for Mark read: 1 exact named test(s) matched and passed on build 1.2.3+156.</x:v>
      </x:c>
      <x:c r="Q67" s="9" t="str"/>
      <x:c r="R67" s="9" t="str">
        <x:v>P0</x:v>
      </x:c>
      <x:c r="S67" s="9" t="str">
        <x:v>2026-08-06</x:v>
      </x:c>
      <x:c r="T67" s="9" t="str">
        <x:v>evidence/server-test-json-final-156.json</x:v>
      </x:c>
      <x:c r="U67" s="9" t="str">
        <x:v>Server: server/src/messenger/read-receipt.service.spec.ts :: ReadReceiptService derives markRead lastReadMessageId from the latest chat message when omitted</x:v>
      </x:c>
    </x:row>
    <x:row r="68">
      <x:c r="A68" s="9" t="str">
        <x:v>CHAT-023</x:v>
      </x:c>
      <x:c r="B68" s="9" t="str">
        <x:v>Messenger</x:v>
      </x:c>
      <x:c r="C68" s="9" t="str">
        <x:v>Mute chat</x:v>
      </x:c>
      <x:c r="D68" s="9" t="str">
        <x:v>участник chat</x:v>
      </x:c>
      <x:c r="E68" s="9" t="str">
        <x:v>Как участник chat, я хочу отключить уведомления разговора, чтобы рабочий сценарий был предсказуемым.</x:v>
      </x:c>
      <x:c r="F68" s="9" t="str">
        <x:v>Пользователь вошёл; Chat destination разрешён.</x:v>
      </x:c>
      <x:c r="G68" s="9" t="str">
        <x:v>Открыть Chat и выполнить действие в списке/переписке/канале.</x:v>
      </x:c>
      <x:c r="H68" s="9" t="str">
        <x:v>Mute сохраняется для пользователя и не влияет на других участников.</x:v>
      </x:c>
      <x:c r="I68" s="9" t="str">
        <x:v>self preference</x:v>
      </x:c>
      <x:c r="J68" s="9" t="str">
        <x:v>Windows, Android</x:v>
      </x:c>
      <x:c r="K68" s="9" t="str">
        <x:v>lib/features/messenger/presentation/screens/messenger_screen.dart</x:v>
      </x:c>
      <x:c r="L68" s="9" t="str">
        <x:v>lib/core/services/magic_messenger_service.dart; server/src/messenger</x:v>
      </x:c>
      <x:c r="M68" s="9" t="str">
        <x:v>test/features/messenger; server/src/messenger/*.spec.ts</x:v>
      </x:c>
      <x:c r="N68" s="9" t="str">
        <x:v>CODE-BACKED</x:v>
      </x:c>
      <x:c r="O68" s="9" t="str">
        <x:v>PASS</x:v>
      </x:c>
      <x:c r="P68" s="9" t="str">
        <x:v>Post-fix acceptance passed for Mute chat: 1 exact named test(s) matched and passed on build 1.2.3+156.</x:v>
      </x:c>
      <x:c r="Q68" s="9" t="str"/>
      <x:c r="R68" s="9" t="str">
        <x:v>P2</x:v>
      </x:c>
      <x:c r="S68" s="9" t="str">
        <x:v>2026-08-06</x:v>
      </x:c>
      <x:c r="T68" s="9" t="str">
        <x:v>evidence/flutter-test-machine-final-156.ndjson</x:v>
      </x:c>
      <x:c r="U68" s="9" t="str">
        <x:v>Flutter: test/core/services/magic_messenger_service_test.dart :: MagicMessengerService updates chat mute preference through v3 API</x:v>
      </x:c>
    </x:row>
    <x:row r="69">
      <x:c r="A69" s="9" t="str">
        <x:v>CHAT-024</x:v>
      </x:c>
      <x:c r="B69" s="9" t="str">
        <x:v>Messenger</x:v>
      </x:c>
      <x:c r="C69" s="9" t="str">
        <x:v>Archive chat</x:v>
      </x:c>
      <x:c r="D69" s="9" t="str">
        <x:v>разрешённый пользователь</x:v>
      </x:c>
      <x:c r="E69" s="9" t="str">
        <x:v>Как разрешённый пользователь, я хочу убрать разговор из активного inbox, чтобы рабочий сценарий был предсказуемым.</x:v>
      </x:c>
      <x:c r="F69" s="9" t="str">
        <x:v>Пользователь вошёл; Chat destination разрешён.</x:v>
      </x:c>
      <x:c r="G69" s="9" t="str">
        <x:v>Открыть Chat и выполнить действие в списке/переписке/канале.</x:v>
      </x:c>
      <x:c r="H69" s="9" t="str">
        <x:v>Archive меняет видимость в папках без удаления history; unarchive возвращает его.</x:v>
      </x:c>
      <x:c r="I69" s="9" t="str">
        <x:v>chat policy</x:v>
      </x:c>
      <x:c r="J69" s="9" t="str">
        <x:v>Windows, Android</x:v>
      </x:c>
      <x:c r="K69" s="9" t="str">
        <x:v>lib/features/messenger/presentation/screens/messenger_screen.dart</x:v>
      </x:c>
      <x:c r="L69" s="9" t="str">
        <x:v>lib/core/services/magic_messenger_service.dart; server/src/messenger</x:v>
      </x:c>
      <x:c r="M69" s="9" t="str">
        <x:v>test/features/messenger; server/src/messenger/*.spec.ts</x:v>
      </x:c>
      <x:c r="N69" s="9" t="str">
        <x:v>CODE-BACKED</x:v>
      </x:c>
      <x:c r="O69" s="9" t="str">
        <x:v>PASS</x:v>
      </x:c>
      <x:c r="P69" s="9" t="str">
        <x:v>Post-fix acceptance passed for Archive chat: 1 exact named test(s) matched and passed on build 1.2.3+156.</x:v>
      </x:c>
      <x:c r="Q69" s="9" t="str"/>
      <x:c r="R69" s="9" t="str">
        <x:v>P1</x:v>
      </x:c>
      <x:c r="S69" s="9" t="str">
        <x:v>2026-08-06</x:v>
      </x:c>
      <x:c r="T69" s="9" t="str">
        <x:v>evidence/flutter-test-machine-final-156.ndjson</x:v>
      </x:c>
      <x:c r="U69" s="9" t="str">
        <x:v>Flutter: test/core/services/magic_messenger_service_test.dart :: MagicMessengerService archiveChat / unarchiveChat / unassignChat hit the right routes</x:v>
      </x:c>
    </x:row>
    <x:row r="70">
      <x:c r="A70" s="9" t="str">
        <x:v>CHAT-025</x:v>
      </x:c>
      <x:c r="B70" s="9" t="str">
        <x:v>Messenger</x:v>
      </x:c>
      <x:c r="C70" s="9" t="str">
        <x:v>Assign chat</x:v>
      </x:c>
      <x:c r="D70" s="9" t="str">
        <x:v>staff пользователь</x:v>
      </x:c>
      <x:c r="E70" s="9" t="str">
        <x:v>Как staff пользователь, я хочу назначить ответственного, чтобы рабочий сценарий был предсказуемым.</x:v>
      </x:c>
      <x:c r="F70" s="9" t="str">
        <x:v>Пользователь вошёл; Chat destination разрешён.</x:v>
      </x:c>
      <x:c r="G70" s="9" t="str">
        <x:v>Открыть Chat и выполнить действие в списке/переписке/канале.</x:v>
      </x:c>
      <x:c r="H70" s="9" t="str">
        <x:v>Назначение проверяется policy, отражается в inbox и может быть снято.</x:v>
      </x:c>
      <x:c r="I70" s="9" t="str">
        <x:v>staff inbox</x:v>
      </x:c>
      <x:c r="J70" s="9" t="str">
        <x:v>Windows, Android</x:v>
      </x:c>
      <x:c r="K70" s="9" t="str">
        <x:v>lib/features/messenger/presentation/screens/messenger_screen.dart</x:v>
      </x:c>
      <x:c r="L70" s="9" t="str">
        <x:v>lib/core/services/magic_messenger_service.dart; server/src/messenger</x:v>
      </x:c>
      <x:c r="M70" s="9" t="str">
        <x:v>test/features/messenger; server/src/messenger/*.spec.ts</x:v>
      </x:c>
      <x:c r="N70" s="9" t="str">
        <x:v>CODE-BACKED</x:v>
      </x:c>
      <x:c r="O70" s="9" t="str">
        <x:v>PASS</x:v>
      </x:c>
      <x:c r="P70" s="9" t="str">
        <x:v>Post-fix acceptance passed for Assign chat: 1 exact named test(s) matched and passed on build 1.2.3+156.</x:v>
      </x:c>
      <x:c r="Q70" s="9" t="str"/>
      <x:c r="R70" s="9" t="str">
        <x:v>P1</x:v>
      </x:c>
      <x:c r="S70" s="9" t="str">
        <x:v>2026-08-06</x:v>
      </x:c>
      <x:c r="T70" s="9" t="str">
        <x:v>evidence/server-test-json-final-156.json</x:v>
      </x:c>
      <x:c r="U70" s="9" t="str">
        <x:v>Server: server/src/messenger/chat-inbox.service.spec.ts :: ChatInboxService assignChat / unassignChat assignChat sets assigned_to_user_id/assigned_at and publishes chat.updated to admin inbox</x:v>
      </x:c>
    </x:row>
    <x:row r="71">
      <x:c r="A71" s="9" t="str">
        <x:v>CHAT-026</x:v>
      </x:c>
      <x:c r="B71" s="9" t="str">
        <x:v>Messenger</x:v>
      </x:c>
      <x:c r="C71" s="9" t="str">
        <x:v>Channels list</x:v>
      </x:c>
      <x:c r="D71" s="9" t="str">
        <x:v>пользователь</x:v>
      </x:c>
      <x:c r="E71" s="9" t="str">
        <x:v>Как пользователь, я хочу видеть доступные каналы, чтобы рабочий сценарий был предсказуемым.</x:v>
      </x:c>
      <x:c r="F71" s="9" t="str">
        <x:v>Пользователь вошёл; Chat destination разрешён.</x:v>
      </x:c>
      <x:c r="G71" s="9" t="str">
        <x:v>Открыть Chat и выполнить действие в списке/переписке/канале.</x:v>
      </x:c>
      <x:c r="H71" s="9" t="str">
        <x:v>Список содержит только разрешённые channels и их access/permissions.</x:v>
      </x:c>
      <x:c r="I71" s="9" t="str">
        <x:v>channel read</x:v>
      </x:c>
      <x:c r="J71" s="9" t="str">
        <x:v>Windows, Android</x:v>
      </x:c>
      <x:c r="K71" s="9" t="str">
        <x:v>lib/features/messenger/presentation/screens/messenger_screen.dart</x:v>
      </x:c>
      <x:c r="L71" s="9" t="str">
        <x:v>lib/core/services/magic_messenger_service.dart; server/src/messenger</x:v>
      </x:c>
      <x:c r="M71" s="9" t="str">
        <x:v>test/features/messenger; server/src/messenger/*.spec.ts</x:v>
      </x:c>
      <x:c r="N71" s="9" t="str">
        <x:v>CODE-BACKED</x:v>
      </x:c>
      <x:c r="O71" s="9" t="str">
        <x:v>PASS</x:v>
      </x:c>
      <x:c r="P71" s="9" t="str">
        <x:v>Post-fix acceptance passed for Channels list: 1 exact named test(s) matched and passed on build 1.2.3+156.</x:v>
      </x:c>
      <x:c r="Q71" s="9" t="str"/>
      <x:c r="R71" s="9" t="str">
        <x:v>P1</x:v>
      </x:c>
      <x:c r="S71" s="9" t="str">
        <x:v>2026-08-06</x:v>
      </x:c>
      <x:c r="T71" s="9" t="str">
        <x:v>evidence/flutter-test-machine-final-156.ndjson</x:v>
      </x:c>
      <x:c r="U71" s="9" t="str">
        <x:v>Flutter: test/core/services/magic_messenger_service_test.dart :: MagicMessengerService lists channels and channel posts through v3 API</x:v>
      </x:c>
    </x:row>
    <x:row r="72">
      <x:c r="A72" s="9" t="str">
        <x:v>CHAT-027</x:v>
      </x:c>
      <x:c r="B72" s="9" t="str">
        <x:v>Messenger</x:v>
      </x:c>
      <x:c r="C72" s="9" t="str">
        <x:v>Channel posts</x:v>
      </x:c>
      <x:c r="D72" s="9" t="str">
        <x:v>пользователь</x:v>
      </x:c>
      <x:c r="E72" s="9" t="str">
        <x:v>Как пользователь, я хочу читать объявления, чтобы рабочий сценарий был предсказуемым.</x:v>
      </x:c>
      <x:c r="F72" s="9" t="str">
        <x:v>Пользователь вошёл; Chat destination разрешён.</x:v>
      </x:c>
      <x:c r="G72" s="9" t="str">
        <x:v>Открыть Chat и выполнить действие в списке/переписке/канале.</x:v>
      </x:c>
      <x:c r="H72" s="9" t="str">
        <x:v>Posts загружаются по access; join channel даёт новые posts realtime.</x:v>
      </x:c>
      <x:c r="I72" s="9" t="str">
        <x:v>channel read</x:v>
      </x:c>
      <x:c r="J72" s="9" t="str">
        <x:v>Windows, Android</x:v>
      </x:c>
      <x:c r="K72" s="9" t="str">
        <x:v>lib/features/messenger/presentation/screens/messenger_screen.dart</x:v>
      </x:c>
      <x:c r="L72" s="9" t="str">
        <x:v>lib/core/services/magic_messenger_service.dart; server/src/messenger</x:v>
      </x:c>
      <x:c r="M72" s="9" t="str">
        <x:v>test/features/messenger; server/src/messenger/*.spec.ts</x:v>
      </x:c>
      <x:c r="N72" s="9" t="str">
        <x:v>CODE-BACKED</x:v>
      </x:c>
      <x:c r="O72" s="9" t="str">
        <x:v>PASS</x:v>
      </x:c>
      <x:c r="P72" s="9" t="str">
        <x:v>Post-fix acceptance passed for Channel posts: 1 exact named test(s) matched and passed on build 1.2.3+156.</x:v>
      </x:c>
      <x:c r="Q72" s="9" t="str"/>
      <x:c r="R72" s="9" t="str">
        <x:v>P1</x:v>
      </x:c>
      <x:c r="S72" s="9" t="str">
        <x:v>2026-08-06</x:v>
      </x:c>
      <x:c r="T72" s="9" t="str">
        <x:v>evidence/flutter-test-machine-final-156.ndjson</x:v>
      </x:c>
      <x:c r="U72" s="9" t="str">
        <x:v>Flutter: test/core/services/magic_messenger_service_test.dart :: MagicMessengerService lists channels and channel posts through v3 API</x:v>
      </x:c>
    </x:row>
    <x:row r="73">
      <x:c r="A73" s="9" t="str">
        <x:v>CHAT-028</x:v>
      </x:c>
      <x:c r="B73" s="9" t="str">
        <x:v>Messenger</x:v>
      </x:c>
      <x:c r="C73" s="9" t="str">
        <x:v>Manage channel</x:v>
      </x:c>
      <x:c r="D73" s="9" t="str">
        <x:v>разрешённый staff</x:v>
      </x:c>
      <x:c r="E73" s="9" t="str">
        <x:v>Как разрешённый staff, я хочу создать или изменить канал, чтобы рабочий сценарий был предсказуемым.</x:v>
      </x:c>
      <x:c r="F73" s="9" t="str">
        <x:v>Пользователь вошёл; Chat destination разрешён.</x:v>
      </x:c>
      <x:c r="G73" s="9" t="str">
        <x:v>Открыть Chat и выполнить действие в списке/переписке/канале.</x:v>
      </x:c>
      <x:c r="H73" s="9" t="str">
        <x:v>Title/access/permissions сохраняются; обычный пользователь mutation не получает.</x:v>
      </x:c>
      <x:c r="I73" s="9" t="str">
        <x:v>channel manage</x:v>
      </x:c>
      <x:c r="J73" s="9" t="str">
        <x:v>Windows, Android</x:v>
      </x:c>
      <x:c r="K73" s="9" t="str">
        <x:v>lib/features/messenger/presentation/screens/messenger_screen.dart</x:v>
      </x:c>
      <x:c r="L73" s="9" t="str">
        <x:v>lib/core/services/magic_messenger_service.dart; server/src/messenger</x:v>
      </x:c>
      <x:c r="M73" s="9" t="str">
        <x:v>test/features/messenger; server/src/messenger/*.spec.ts</x:v>
      </x:c>
      <x:c r="N73" s="9" t="str">
        <x:v>CODE-BACKED</x:v>
      </x:c>
      <x:c r="O73" s="9" t="str">
        <x:v>PASS</x:v>
      </x:c>
      <x:c r="P73" s="9" t="str">
        <x:v>Post-fix acceptance passed for Manage channel: 1 exact named test(s) matched and passed on build 1.2.3+156.</x:v>
      </x:c>
      <x:c r="Q73" s="9" t="str"/>
      <x:c r="R73" s="9" t="str">
        <x:v>P1</x:v>
      </x:c>
      <x:c r="S73" s="9" t="str">
        <x:v>2026-08-06</x:v>
      </x:c>
      <x:c r="T73" s="9" t="str">
        <x:v>evidence/flutter-test-machine-final-156.ndjson</x:v>
      </x:c>
      <x:c r="U73" s="9" t="str">
        <x:v>Flutter: test/core/services/magic_messenger_service_test.dart :: MagicMessengerService creates and updates channels through v3 API</x:v>
      </x:c>
    </x:row>
    <x:row r="74">
      <x:c r="A74" s="9" t="str">
        <x:v>CHAT-029</x:v>
      </x:c>
      <x:c r="B74" s="9" t="str">
        <x:v>Messenger</x:v>
      </x:c>
      <x:c r="C74" s="9" t="str">
        <x:v>Publish channel post</x:v>
      </x:c>
      <x:c r="D74" s="9" t="str">
        <x:v>разрешённый автор</x:v>
      </x:c>
      <x:c r="E74" s="9" t="str">
        <x:v>Как разрешённый автор, я хочу опубликовать объявление, чтобы рабочий сценарий был предсказуемым.</x:v>
      </x:c>
      <x:c r="F74" s="9" t="str">
        <x:v>Пользователь вошёл; Chat destination разрешён.</x:v>
      </x:c>
      <x:c r="G74" s="9" t="str">
        <x:v>Открыть Chat и выполнить действие в списке/переписке/канале.</x:v>
      </x:c>
      <x:c r="H74" s="9" t="str">
        <x:v>Один post создаётся и доставляется channel members realtime.</x:v>
      </x:c>
      <x:c r="I74" s="9" t="str">
        <x:v>channel publish</x:v>
      </x:c>
      <x:c r="J74" s="9" t="str">
        <x:v>Windows, Android</x:v>
      </x:c>
      <x:c r="K74" s="9" t="str">
        <x:v>lib/features/messenger/presentation/screens/messenger_screen.dart</x:v>
      </x:c>
      <x:c r="L74" s="9" t="str">
        <x:v>lib/core/services/magic_messenger_service.dart; server/src/messenger</x:v>
      </x:c>
      <x:c r="M74" s="9" t="str">
        <x:v>test/features/messenger; server/src/messenger/*.spec.ts</x:v>
      </x:c>
      <x:c r="N74" s="9" t="str">
        <x:v>CODE-BACKED</x:v>
      </x:c>
      <x:c r="O74" s="9" t="str">
        <x:v>PASS</x:v>
      </x:c>
      <x:c r="P74" s="9" t="str">
        <x:v>Post-fix acceptance passed for Publish channel post: 1 exact named test(s) matched and passed on build 1.2.3+156.</x:v>
      </x:c>
      <x:c r="Q74" s="9" t="str"/>
      <x:c r="R74" s="9" t="str">
        <x:v>P1</x:v>
      </x:c>
      <x:c r="S74" s="9" t="str">
        <x:v>2026-08-06</x:v>
      </x:c>
      <x:c r="T74" s="9" t="str">
        <x:v>evidence/server-test-json-final-156.json</x:v>
      </x:c>
      <x:c r="U74" s="9" t="str">
        <x:v>Server: server/src/messenger/channels.service.spec.ts :: ChannelsService publishes channel.post_created to the channel room, never a chat room</x:v>
      </x:c>
    </x:row>
    <x:row r="75">
      <x:c r="A75" s="9" t="str">
        <x:v>CHAT-030</x:v>
      </x:c>
      <x:c r="B75" s="9" t="str">
        <x:v>Messenger</x:v>
      </x:c>
      <x:c r="C75" s="9" t="str">
        <x:v>Typing and presence</x:v>
      </x:c>
      <x:c r="D75" s="9" t="str">
        <x:v>участник chat</x:v>
      </x:c>
      <x:c r="E75" s="9" t="str">
        <x:v>Как участник chat, я хочу видеть typing/presence, чтобы рабочий сценарий был предсказуемым.</x:v>
      </x:c>
      <x:c r="F75" s="9" t="str">
        <x:v>Пользователь вошёл; Chat destination разрешён.</x:v>
      </x:c>
      <x:c r="G75" s="9" t="str">
        <x:v>Открыть Chat и выполнить действие в списке/переписке/канале.</x:v>
      </x:c>
      <x:c r="H75" s="9" t="str">
        <x:v>Events rate-limited, room-scoped и не раскрывают пользователей вне разрешённой комнаты.</x:v>
      </x:c>
      <x:c r="I75" s="9" t="str">
        <x:v>room policy</x:v>
      </x:c>
      <x:c r="J75" s="9" t="str">
        <x:v>Windows, Android</x:v>
      </x:c>
      <x:c r="K75" s="9" t="str">
        <x:v>lib/features/messenger/presentation/screens/messenger_screen.dart</x:v>
      </x:c>
      <x:c r="L75" s="9" t="str">
        <x:v>lib/core/services/magic_messenger_service.dart; server/src/messenger</x:v>
      </x:c>
      <x:c r="M75" s="9" t="str">
        <x:v>test/features/messenger; server/src/messenger/*.spec.ts</x:v>
      </x:c>
      <x:c r="N75" s="9" t="str">
        <x:v>CODE-BACKED</x:v>
      </x:c>
      <x:c r="O75" s="9" t="str">
        <x:v>PASS</x:v>
      </x:c>
      <x:c r="P75" s="9" t="str">
        <x:v>Post-fix acceptance passed for Typing and presence: 1 exact named test(s) matched and passed on build 1.2.3+156.</x:v>
      </x:c>
      <x:c r="Q75" s="9" t="str"/>
      <x:c r="R75" s="9" t="str">
        <x:v>P1</x:v>
      </x:c>
      <x:c r="S75" s="9" t="str">
        <x:v>2026-08-06</x:v>
      </x:c>
      <x:c r="T75" s="9" t="str">
        <x:v>evidence/flutter-test-machine-final-156.ndjson</x:v>
      </x:c>
      <x:c r="U75" s="9" t="str">
        <x:v>Flutter: test/core/services/magic_realtime_service_test.dart :: MagicRealtimeService emits room, typing and presence events</x:v>
      </x:c>
    </x:row>
    <x:row r="76">
      <x:c r="A76" s="9" t="str">
        <x:v>CHAT-031</x:v>
      </x:c>
      <x:c r="B76" s="9" t="str">
        <x:v>Messenger</x:v>
      </x:c>
      <x:c r="C76" s="9" t="str">
        <x:v>Realtime reconnect</x:v>
      </x:c>
      <x:c r="D76" s="9" t="str">
        <x:v>пользователь</x:v>
      </x:c>
      <x:c r="E76" s="9" t="str">
        <x:v>Как пользователь, я хочу продолжить chat после sleep/network loss, чтобы рабочий сценарий был предсказуемым.</x:v>
      </x:c>
      <x:c r="F76" s="9" t="str">
        <x:v>Пользователь вошёл; Chat destination разрешён.</x:v>
      </x:c>
      <x:c r="G76" s="9" t="str">
        <x:v>Открыть Chat и выполнить действие в списке/переписке/канале.</x:v>
      </x:c>
      <x:c r="H76" s="9" t="str">
        <x:v>Reconnect получает свежий JWT, повторно join-ит rooms и не дублирует handlers/messages.</x:v>
      </x:c>
      <x:c r="I76" s="9" t="str">
        <x:v>current account</x:v>
      </x:c>
      <x:c r="J76" s="9" t="str">
        <x:v>Windows, Android</x:v>
      </x:c>
      <x:c r="K76" s="9" t="str">
        <x:v>lib/features/messenger/presentation/screens/messenger_screen.dart</x:v>
      </x:c>
      <x:c r="L76" s="9" t="str">
        <x:v>lib/core/services/magic_messenger_service.dart; server/src/messenger</x:v>
      </x:c>
      <x:c r="M76" s="9" t="str">
        <x:v>test/features/messenger; server/src/messenger/*.spec.ts</x:v>
      </x:c>
      <x:c r="N76" s="9" t="str">
        <x:v>CODE-BACKED</x:v>
      </x:c>
      <x:c r="O76" s="9" t="str">
        <x:v>PASS</x:v>
      </x:c>
      <x:c r="P76" s="9" t="str">
        <x:v>Post-fix acceptance passed for Realtime reconnect: 1 exact named test(s) matched and passed on build 1.2.3+156.</x:v>
      </x:c>
      <x:c r="Q76" s="9" t="str"/>
      <x:c r="R76" s="9" t="str">
        <x:v>P0</x:v>
      </x:c>
      <x:c r="S76" s="9" t="str">
        <x:v>2026-08-06</x:v>
      </x:c>
      <x:c r="T76" s="9" t="str">
        <x:v>evidence/flutter-test-machine-final-156.ndjson</x:v>
      </x:c>
      <x:c r="U76" s="9" t="str">
        <x:v>Flutter: test/core/services/magic_realtime_service_test.dart :: MagicRealtimeService onConnect fires on every (re)connect so rooms can be re-joined</x:v>
      </x:c>
    </x:row>
    <x:row r="77">
      <x:c r="A77" s="9" t="str">
        <x:v>CHAT-032</x:v>
      </x:c>
      <x:c r="B77" s="9" t="str">
        <x:v>Messenger</x:v>
      </x:c>
      <x:c r="C77" s="9" t="str">
        <x:v>Save chat contact</x:v>
      </x:c>
      <x:c r="D77" s="9" t="str">
        <x:v>staff пользователь</x:v>
      </x:c>
      <x:c r="E77" s="9" t="str">
        <x:v>Как staff пользователь, я хочу связать собеседника с CRM, чтобы рабочий сценарий был предсказуемым.</x:v>
      </x:c>
      <x:c r="F77" s="9" t="str">
        <x:v>Пользователь вошёл; Chat destination разрешён.</x:v>
      </x:c>
      <x:c r="G77" s="9" t="str">
        <x:v>Открыть Chat и выполнить действие в списке/переписке/канале.</x:v>
      </x:c>
      <x:c r="H77" s="9" t="str">
        <x:v>Создаётся/находится actor-safe contact link; duplicate client не создаётся автоматически.</x:v>
      </x:c>
      <x:c r="I77" s="9" t="str">
        <x:v>crm.client.write</x:v>
      </x:c>
      <x:c r="J77" s="9" t="str">
        <x:v>Windows, Android</x:v>
      </x:c>
      <x:c r="K77" s="9" t="str">
        <x:v>lib/features/messenger/presentation/screens/messenger_screen.dart</x:v>
      </x:c>
      <x:c r="L77" s="9" t="str">
        <x:v>lib/core/services/magic_messenger_service.dart; server/src/messenger</x:v>
      </x:c>
      <x:c r="M77" s="9" t="str">
        <x:v>test/features/messenger; server/src/messenger/*.spec.ts</x:v>
      </x:c>
      <x:c r="N77" s="9" t="str">
        <x:v>CODE-BACKED</x:v>
      </x:c>
      <x:c r="O77" s="9" t="str">
        <x:v>PASS</x:v>
      </x:c>
      <x:c r="P77" s="9" t="str">
        <x:v>Post-fix acceptance passed for Save chat contact: 1 exact named test(s) matched and passed on build 1.2.3+156.</x:v>
      </x:c>
      <x:c r="Q77" s="9" t="str"/>
      <x:c r="R77" s="9" t="str">
        <x:v>P1</x:v>
      </x:c>
      <x:c r="S77" s="9" t="str">
        <x:v>2026-08-06</x:v>
      </x:c>
      <x:c r="T77" s="9" t="str">
        <x:v>evidence/server-test-json-final-156.json</x:v>
      </x:c>
      <x:c r="U77" s="9" t="str">
        <x:v>Server: server/src/crm/lead-intake.service.spec.ts :: LeadIntakeService save-from-chat creates and links a new lead from a chat partner</x:v>
      </x:c>
    </x:row>
    <x:row r="78">
      <x:c r="A78" s="9" t="str">
        <x:v>CRM-001</x:v>
      </x:c>
      <x:c r="B78" s="9" t="str">
        <x:v>CRM Clients</x:v>
      </x:c>
      <x:c r="C78" s="9" t="str">
        <x:v>Lead board</x:v>
      </x:c>
      <x:c r="D78" s="9" t="str">
        <x:v>staff пользователь</x:v>
      </x:c>
      <x:c r="E78" s="9" t="str">
        <x:v>Как staff пользователь, я хочу видеть Leads по effective pipeline, чтобы рабочий сценарий был предсказуемым.</x:v>
      </x:c>
      <x:c r="F78" s="9" t="str">
        <x:v>Пользователь вошёл; Clients destination и нужный resource scope разрешены.</x:v>
      </x:c>
      <x:c r="G78" s="9" t="str">
        <x:v>Открыть Clients/Client workspace и выполнить действие.</x:v>
      </x:c>
      <x:c r="H78" s="9" t="str">
        <x:v>Колонки/порядок берутся из опубликованной конфигурации; count/cards соответствуют текущему scope.</x:v>
      </x:c>
      <x:c r="I78" s="9" t="str">
        <x:v>crm.client.read</x:v>
      </x:c>
      <x:c r="J78" s="9" t="str">
        <x:v>Windows, Android</x:v>
      </x:c>
      <x:c r="K78" s="9" t="str">
        <x:v>lib/features/manager/presentation/widgets/leads_widget.dart; lib/features/crm/presentation/client_card</x:v>
      </x:c>
      <x:c r="L78" s="9" t="str">
        <x:v>lib/core/services/magic_crm_service*.dart; server/src/crm/crm-*controller.ts</x:v>
      </x:c>
      <x:c r="M78" s="9" t="str">
        <x:v>test/features/crm; server/src/crm/**/*.spec.ts; docs/audits/v6-client-workspace.md</x:v>
      </x:c>
      <x:c r="N78" s="9" t="str">
        <x:v>CODE-BACKED</x:v>
      </x:c>
      <x:c r="O78" s="9" t="str">
        <x:v>PASS</x:v>
      </x:c>
      <x:c r="P78" s="9" t="str">
        <x:v>Post-fix acceptance passed for Lead board: 1 exact named test(s) matched and passed on build 1.2.3+156.</x:v>
      </x:c>
      <x:c r="Q78" s="9" t="str"/>
      <x:c r="R78" s="9" t="str">
        <x:v>P0</x:v>
      </x:c>
      <x:c r="S78" s="9" t="str">
        <x:v>2026-08-06</x:v>
      </x:c>
      <x:c r="T78" s="9" t="str">
        <x:v>evidence/server-test-json-final-156.json</x:v>
      </x:c>
      <x:c r="U78" s="9" t="str">
        <x:v>Server: server/src/crm/leads.service.spec.ts :: LeadsService returns lead board columns with counts and aggregate lead fields</x:v>
      </x:c>
    </x:row>
    <x:row r="79">
      <x:c r="A79" s="9" t="str">
        <x:v>CRM-002</x:v>
      </x:c>
      <x:c r="B79" s="9" t="str">
        <x:v>CRM Clients</x:v>
      </x:c>
      <x:c r="C79" s="9" t="str">
        <x:v>Lead search typing</x:v>
      </x:c>
      <x:c r="D79" s="9" t="str">
        <x:v>staff пользователь</x:v>
      </x:c>
      <x:c r="E79" s="9" t="str">
        <x:v>Как staff пользователь, я хочу ввести ФИО/телефон без restart, чтобы рабочий сценарий был предсказуемым.</x:v>
      </x:c>
      <x:c r="F79" s="9" t="str">
        <x:v>Пользователь вошёл; Clients destination и нужный resource scope разрешены.</x:v>
      </x:c>
      <x:c r="G79" s="9" t="str">
        <x:v>Открыть Clients/Client workspace и выполнить действие.</x:v>
      </x:c>
      <x:c r="H79" s="9" t="str">
        <x:v>Каждый символ остаётся в поле, focus не теряется, только matching cards/rows остаются видимыми.</x:v>
      </x:c>
      <x:c r="I79" s="9" t="str">
        <x:v>crm.client.read</x:v>
      </x:c>
      <x:c r="J79" s="9" t="str">
        <x:v>Windows, Android</x:v>
      </x:c>
      <x:c r="K79" s="9" t="str">
        <x:v>lib/features/manager/presentation/widgets/leads_widget.dart; lib/features/crm/presentation/client_card</x:v>
      </x:c>
      <x:c r="L79" s="9" t="str">
        <x:v>lib/core/services/magic_crm_service*.dart; server/src/crm/crm-*controller.ts</x:v>
      </x:c>
      <x:c r="M79" s="9" t="str">
        <x:v>test/features/crm; server/src/crm/**/*.spec.ts; docs/audits/v6-client-workspace.md</x:v>
      </x:c>
      <x:c r="N79" s="9" t="str">
        <x:v>CODE-BACKED</x:v>
      </x:c>
      <x:c r="O79" s="9" t="str">
        <x:v>PASS</x:v>
      </x:c>
      <x:c r="P79" s="9" t="str">
        <x:v>Post-fix acceptance passed for Lead search typing: 1 exact named test(s) matched and passed on build 1.2.3+156.</x:v>
      </x:c>
      <x:c r="Q79" s="9" t="str"/>
      <x:c r="R79" s="9" t="str">
        <x:v>P0</x:v>
      </x:c>
      <x:c r="S79" s="9" t="str">
        <x:v>2026-08-06</x:v>
      </x:c>
      <x:c r="T79" s="9" t="str">
        <x:v>evidence/flutter-test-machine-final-156.ndjson</x:v>
      </x:c>
      <x:c r="U79" s="9" t="str">
        <x:v>Flutter: test/features/manager/realtime_poll_ux_test.dart :: lead search keeps focus and board while typing every character</x:v>
      </x:c>
    </x:row>
    <x:row r="80">
      <x:c r="A80" s="9" t="str">
        <x:v>CRM-003</x:v>
      </x:c>
      <x:c r="B80" s="9" t="str">
        <x:v>CRM Clients</x:v>
      </x:c>
      <x:c r="C80" s="9" t="str">
        <x:v>Lead filters</x:v>
      </x:c>
      <x:c r="D80" s="9" t="str">
        <x:v>staff пользователь</x:v>
      </x:c>
      <x:c r="E80" s="9" t="str">
        <x:v>Как staff пользователь, я хочу фильтровать Leads, чтобы рабочий сценарий был предсказуемым.</x:v>
      </x:c>
      <x:c r="F80" s="9" t="str">
        <x:v>Пользователь вошёл; Clients destination и нужный resource scope разрешены.</x:v>
      </x:c>
      <x:c r="G80" s="9" t="str">
        <x:v>Открыть Clients/Client workspace и выполнить действие.</x:v>
      </x:c>
      <x:c r="H80" s="9" t="str">
        <x:v>Source/status/branch/responsible filters применяются совместно и явно сбрасываются.</x:v>
      </x:c>
      <x:c r="I80" s="9" t="str">
        <x:v>crm.client.read</x:v>
      </x:c>
      <x:c r="J80" s="9" t="str">
        <x:v>Windows, Android</x:v>
      </x:c>
      <x:c r="K80" s="9" t="str">
        <x:v>lib/features/manager/presentation/widgets/leads_widget.dart; lib/features/crm/presentation/client_card</x:v>
      </x:c>
      <x:c r="L80" s="9" t="str">
        <x:v>lib/core/services/magic_crm_service*.dart; server/src/crm/crm-*controller.ts</x:v>
      </x:c>
      <x:c r="M80" s="9" t="str">
        <x:v>test/features/crm; server/src/crm/**/*.spec.ts; docs/audits/v6-client-workspace.md</x:v>
      </x:c>
      <x:c r="N80" s="9" t="str">
        <x:v>CODE-BACKED</x:v>
      </x:c>
      <x:c r="O80" s="9" t="str">
        <x:v>PASS</x:v>
      </x:c>
      <x:c r="P80" s="9" t="str">
        <x:v>Post-fix acceptance passed for Lead filters: 1 exact named test(s) matched and passed on build 1.2.3+156.</x:v>
      </x:c>
      <x:c r="Q80" s="9" t="str"/>
      <x:c r="R80" s="9" t="str">
        <x:v>P1</x:v>
      </x:c>
      <x:c r="S80" s="9" t="str">
        <x:v>2026-08-06</x:v>
      </x:c>
      <x:c r="T80" s="9" t="str">
        <x:v>evidence/server-test-json-final-156.json</x:v>
      </x:c>
      <x:c r="U80" s="9" t="str">
        <x:v>Server: server/src/crm/leads.service.spec.ts :: LeadsService lead board branch filter prefers the branch_id column</x:v>
      </x:c>
    </x:row>
    <x:row r="81">
      <x:c r="A81" s="9" t="str">
        <x:v>CRM-004</x:v>
      </x:c>
      <x:c r="B81" s="9" t="str">
        <x:v>CRM Clients</x:v>
      </x:c>
      <x:c r="C81" s="9" t="str">
        <x:v>Create Lead</x:v>
      </x:c>
      <x:c r="D81" s="9" t="str">
        <x:v>staff пользователь</x:v>
      </x:c>
      <x:c r="E81" s="9" t="str">
        <x:v>Как staff пользователь, я хочу создать обращение, чтобы рабочий сценарий был предсказуемым.</x:v>
      </x:c>
      <x:c r="F81" s="9" t="str">
        <x:v>Пользователь вошёл; Clients destination и нужный resource scope разрешены.</x:v>
      </x:c>
      <x:c r="G81" s="9" t="str">
        <x:v>Открыть Clients/Client workspace и выполнить действие.</x:v>
      </x:c>
      <x:c r="H81" s="9" t="str">
        <x:v>Required effective fields валидируются; source выбирается из reusable options; успешная запись появляется один раз.</x:v>
      </x:c>
      <x:c r="I81" s="9" t="str">
        <x:v>crm.client.write</x:v>
      </x:c>
      <x:c r="J81" s="9" t="str">
        <x:v>Windows, Android</x:v>
      </x:c>
      <x:c r="K81" s="9" t="str">
        <x:v>lib/features/manager/presentation/widgets/leads_widget.dart; lib/features/crm/presentation/client_card</x:v>
      </x:c>
      <x:c r="L81" s="9" t="str">
        <x:v>lib/core/services/magic_crm_service*.dart; server/src/crm/crm-*controller.ts</x:v>
      </x:c>
      <x:c r="M81" s="9" t="str">
        <x:v>test/features/crm; server/src/crm/**/*.spec.ts; docs/audits/v6-client-workspace.md</x:v>
      </x:c>
      <x:c r="N81" s="9" t="str">
        <x:v>CODE-BACKED</x:v>
      </x:c>
      <x:c r="O81" s="9" t="str">
        <x:v>PASS</x:v>
      </x:c>
      <x:c r="P81" s="9" t="str">
        <x:v>Post-fix acceptance passed for Create Lead: 1 exact named test(s) matched and passed on build 1.2.3+156.</x:v>
      </x:c>
      <x:c r="Q81" s="9" t="str"/>
      <x:c r="R81" s="9" t="str">
        <x:v>P0</x:v>
      </x:c>
      <x:c r="S81" s="9" t="str">
        <x:v>2026-08-06</x:v>
      </x:c>
      <x:c r="T81" s="9" t="str">
        <x:v>evidence/flutter-test-machine-final-156.ndjson</x:v>
      </x:c>
      <x:c r="U81" s="9" t="str">
        <x:v>Flutter: test/core/services/magic_crm_service_test.dart :: MagicCrmService manages leads and lead statuses through v3 API</x:v>
      </x:c>
    </x:row>
    <x:row r="82">
      <x:c r="A82" s="9" t="str">
        <x:v>CRM-005</x:v>
      </x:c>
      <x:c r="B82" s="9" t="str">
        <x:v>CRM Clients</x:v>
      </x:c>
      <x:c r="C82" s="9" t="str">
        <x:v>Edit Lead</x:v>
      </x:c>
      <x:c r="D82" s="9" t="str">
        <x:v>staff пользователь</x:v>
      </x:c>
      <x:c r="E82" s="9" t="str">
        <x:v>Как staff пользователь, я хочу изменить карточку Lead, чтобы рабочий сценарий был предсказуемым.</x:v>
      </x:c>
      <x:c r="F82" s="9" t="str">
        <x:v>Пользователь вошёл; Clients destination и нужный resource scope разрешены.</x:v>
      </x:c>
      <x:c r="G82" s="9" t="str">
        <x:v>Открыть Clients/Client workspace и выполнить действие.</x:v>
      </x:c>
      <x:c r="H82" s="9" t="str">
        <x:v>Версионируемые стандартные/custom fields сохраняются; field-level 422 показывается у поля.</x:v>
      </x:c>
      <x:c r="I82" s="9" t="str">
        <x:v>crm.client.write + scope</x:v>
      </x:c>
      <x:c r="J82" s="9" t="str">
        <x:v>Windows, Android</x:v>
      </x:c>
      <x:c r="K82" s="9" t="str">
        <x:v>lib/features/manager/presentation/widgets/leads_widget.dart; lib/features/crm/presentation/client_card</x:v>
      </x:c>
      <x:c r="L82" s="9" t="str">
        <x:v>lib/core/services/magic_crm_service*.dart; server/src/crm/crm-*controller.ts</x:v>
      </x:c>
      <x:c r="M82" s="9" t="str">
        <x:v>test/features/crm; server/src/crm/**/*.spec.ts; docs/audits/v6-client-workspace.md</x:v>
      </x:c>
      <x:c r="N82" s="9" t="str">
        <x:v>CODE-BACKED</x:v>
      </x:c>
      <x:c r="O82" s="9" t="str">
        <x:v>PASS</x:v>
      </x:c>
      <x:c r="P82" s="9" t="str">
        <x:v>Post-fix acceptance passed for Edit Lead: 1 exact named test(s) matched and passed on build 1.2.3+156.</x:v>
      </x:c>
      <x:c r="Q82" s="9" t="str"/>
      <x:c r="R82" s="9" t="str">
        <x:v>P0</x:v>
      </x:c>
      <x:c r="S82" s="9" t="str">
        <x:v>2026-08-06</x:v>
      </x:c>
      <x:c r="T82" s="9" t="str">
        <x:v>evidence/flutter-test-machine-final-156.ndjson</x:v>
      </x:c>
      <x:c r="U82" s="9" t="str">
        <x:v>Flutter: test/core/services/magic_crm_service_test.dart :: MagicCrmService manages leads and lead statuses through v3 API</x:v>
      </x:c>
    </x:row>
    <x:row r="83">
      <x:c r="A83" s="9" t="str">
        <x:v>CRM-006</x:v>
      </x:c>
      <x:c r="B83" s="9" t="str">
        <x:v>CRM Clients</x:v>
      </x:c>
      <x:c r="C83" s="9" t="str">
        <x:v>Move Lead stage</x:v>
      </x:c>
      <x:c r="D83" s="9" t="str">
        <x:v>staff пользователь</x:v>
      </x:c>
      <x:c r="E83" s="9" t="str">
        <x:v>Как staff пользователь, я хочу переместить Lead по funnel, чтобы рабочий сценарий был предсказуемым.</x:v>
      </x:c>
      <x:c r="F83" s="9" t="str">
        <x:v>Пользователь вошёл; Clients destination и нужный resource scope разрешены.</x:v>
      </x:c>
      <x:c r="G83" s="9" t="str">
        <x:v>Открыть Clients/Client workspace и выполнить действие.</x:v>
      </x:c>
      <x:c r="H83" s="9" t="str">
        <x:v>Разрешённый transition сохраняется и D&amp;D card остаётся в новой колонке; forbidden transition откатывает UI с объяснением.</x:v>
      </x:c>
      <x:c r="I83" s="9" t="str">
        <x:v>crm.client.write</x:v>
      </x:c>
      <x:c r="J83" s="9" t="str">
        <x:v>Windows, Android</x:v>
      </x:c>
      <x:c r="K83" s="9" t="str">
        <x:v>lib/features/manager/presentation/widgets/leads_widget.dart; lib/features/crm/presentation/client_card</x:v>
      </x:c>
      <x:c r="L83" s="9" t="str">
        <x:v>lib/core/services/magic_crm_service*.dart; server/src/crm/crm-*controller.ts</x:v>
      </x:c>
      <x:c r="M83" s="9" t="str">
        <x:v>test/features/crm; server/src/crm/**/*.spec.ts; docs/audits/v6-client-workspace.md</x:v>
      </x:c>
      <x:c r="N83" s="9" t="str">
        <x:v>CODE-BACKED</x:v>
      </x:c>
      <x:c r="O83" s="9" t="str">
        <x:v>PASS</x:v>
      </x:c>
      <x:c r="P83" s="9" t="str">
        <x:v>Post-fix acceptance passed for Move Lead stage: 1 exact named test(s) matched and passed on build 1.2.3+156.</x:v>
      </x:c>
      <x:c r="Q83" s="9" t="str"/>
      <x:c r="R83" s="9" t="str">
        <x:v>P0</x:v>
      </x:c>
      <x:c r="S83" s="9" t="str">
        <x:v>2026-08-06</x:v>
      </x:c>
      <x:c r="T83" s="9" t="str">
        <x:v>evidence/flutter-test-machine-final-156.ndjson</x:v>
      </x:c>
      <x:c r="U83" s="9" t="str">
        <x:v>Flutter: test/core/services/magic_crm_service_test.dart :: MagicCrmService manages leads and lead statuses through v3 API</x:v>
      </x:c>
    </x:row>
    <x:row r="84">
      <x:c r="A84" s="9" t="str">
        <x:v>CRM-007</x:v>
      </x:c>
      <x:c r="B84" s="9" t="str">
        <x:v>CRM Clients</x:v>
      </x:c>
      <x:c r="C84" s="9" t="str">
        <x:v>Lead status history</x:v>
      </x:c>
      <x:c r="D84" s="9" t="str">
        <x:v>staff пользователь</x:v>
      </x:c>
      <x:c r="E84" s="9" t="str">
        <x:v>Как staff пользователь, я хочу увидеть историю стадий, чтобы рабочий сценарий был предсказуемым.</x:v>
      </x:c>
      <x:c r="F84" s="9" t="str">
        <x:v>Пользователь вошёл; Clients destination и нужный resource scope разрешены.</x:v>
      </x:c>
      <x:c r="G84" s="9" t="str">
        <x:v>Открыть Clients/Client workspace и выполнить действие.</x:v>
      </x:c>
      <x:c r="H84" s="9" t="str">
        <x:v>История показывает actor/time/from/to без переписывания прошлых событий.</x:v>
      </x:c>
      <x:c r="I84" s="9" t="str">
        <x:v>crm.client.read</x:v>
      </x:c>
      <x:c r="J84" s="9" t="str">
        <x:v>Windows, Android</x:v>
      </x:c>
      <x:c r="K84" s="9" t="str">
        <x:v>lib/features/manager/presentation/widgets/leads_widget.dart; lib/features/crm/presentation/client_card</x:v>
      </x:c>
      <x:c r="L84" s="9" t="str">
        <x:v>lib/core/services/magic_crm_service*.dart; server/src/crm/crm-*controller.ts</x:v>
      </x:c>
      <x:c r="M84" s="9" t="str">
        <x:v>test/features/crm; server/src/crm/**/*.spec.ts; docs/audits/v6-client-workspace.md</x:v>
      </x:c>
      <x:c r="N84" s="9" t="str">
        <x:v>CODE-BACKED</x:v>
      </x:c>
      <x:c r="O84" s="9" t="str">
        <x:v>PASS</x:v>
      </x:c>
      <x:c r="P84" s="9" t="str">
        <x:v>Post-fix acceptance passed for Lead status history: 1 exact named test(s) matched and passed on build 1.2.3+156.</x:v>
      </x:c>
      <x:c r="Q84" s="9" t="str"/>
      <x:c r="R84" s="9" t="str">
        <x:v>P1</x:v>
      </x:c>
      <x:c r="S84" s="9" t="str">
        <x:v>2026-08-06</x:v>
      </x:c>
      <x:c r="T84" s="9" t="str">
        <x:v>evidence/server-test-json-final-156.json</x:v>
      </x:c>
      <x:c r="U84" s="9" t="str">
        <x:v>Server: server/src/crm/leads.service.spec.ts :: LeadsService records a lead_status_history row when status changes</x:v>
      </x:c>
    </x:row>
    <x:row r="85">
      <x:c r="A85" s="9" t="str">
        <x:v>CRM-008</x:v>
      </x:c>
      <x:c r="B85" s="9" t="str">
        <x:v>CRM Clients</x:v>
      </x:c>
      <x:c r="C85" s="9" t="str">
        <x:v>Lead applications</x:v>
      </x:c>
      <x:c r="D85" s="9" t="str">
        <x:v>staff пользователь</x:v>
      </x:c>
      <x:c r="E85" s="9" t="str">
        <x:v>Как staff пользователь, я хочу просмотреть обращения Lead, чтобы рабочий сценарий был предсказуемым.</x:v>
      </x:c>
      <x:c r="F85" s="9" t="str">
        <x:v>Пользователь вошёл; Clients destination и нужный resource scope разрешены.</x:v>
      </x:c>
      <x:c r="G85" s="9" t="str">
        <x:v>Открыть Clients/Client workspace и выполнить действие.</x:v>
      </x:c>
      <x:c r="H85" s="9" t="str">
        <x:v>Связанные applications загружаются в scope и не дублируются.</x:v>
      </x:c>
      <x:c r="I85" s="9" t="str">
        <x:v>crm.client.read</x:v>
      </x:c>
      <x:c r="J85" s="9" t="str">
        <x:v>Windows, Android</x:v>
      </x:c>
      <x:c r="K85" s="9" t="str">
        <x:v>lib/features/manager/presentation/widgets/leads_widget.dart; lib/features/crm/presentation/client_card</x:v>
      </x:c>
      <x:c r="L85" s="9" t="str">
        <x:v>lib/core/services/magic_crm_service*.dart; server/src/crm/crm-*controller.ts</x:v>
      </x:c>
      <x:c r="M85" s="9" t="str">
        <x:v>test/features/crm; server/src/crm/**/*.spec.ts; docs/audits/v6-client-workspace.md</x:v>
      </x:c>
      <x:c r="N85" s="9" t="str">
        <x:v>CODE-BACKED</x:v>
      </x:c>
      <x:c r="O85" s="9" t="str">
        <x:v>PASS</x:v>
      </x:c>
      <x:c r="P85" s="9" t="str">
        <x:v>Post-fix acceptance passed for Lead applications: 1 exact named test(s) matched and passed on build 1.2.3+156.</x:v>
      </x:c>
      <x:c r="Q85" s="9" t="str"/>
      <x:c r="R85" s="9" t="str">
        <x:v>P2</x:v>
      </x:c>
      <x:c r="S85" s="9" t="str">
        <x:v>2026-08-06</x:v>
      </x:c>
      <x:c r="T85" s="9" t="str">
        <x:v>evidence/server-test-json-final-156.json</x:v>
      </x:c>
      <x:c r="U85" s="9" t="str">
        <x:v>Server: server/src/crm/leads.service.spec.ts :: LeadsService lists a lead's applications newest-first (KVA-234)</x:v>
      </x:c>
    </x:row>
    <x:row r="86">
      <x:c r="A86" s="9" t="str">
        <x:v>CRM-009</x:v>
      </x:c>
      <x:c r="B86" s="9" t="str">
        <x:v>CRM Clients</x:v>
      </x:c>
      <x:c r="C86" s="9" t="str">
        <x:v>Lead blacklist</x:v>
      </x:c>
      <x:c r="D86" s="9" t="str">
        <x:v>разрешённый staff</x:v>
      </x:c>
      <x:c r="E86" s="9" t="str">
        <x:v>Как разрешённый staff, я хочу пометить Lead в blacklist, чтобы рабочий сценарий был предсказуемым.</x:v>
      </x:c>
      <x:c r="F86" s="9" t="str">
        <x:v>Пользователь вошёл; Clients destination и нужный resource scope разрешены.</x:v>
      </x:c>
      <x:c r="G86" s="9" t="str">
        <x:v>Открыть Clients/Client workspace и выполнить действие.</x:v>
      </x:c>
      <x:c r="H86" s="9" t="str">
        <x:v>Изменение требует допустимого reason/state и отражается во всех projections.</x:v>
      </x:c>
      <x:c r="I86" s="9" t="str">
        <x:v>crm.client.write</x:v>
      </x:c>
      <x:c r="J86" s="9" t="str">
        <x:v>Windows, Android</x:v>
      </x:c>
      <x:c r="K86" s="9" t="str">
        <x:v>lib/features/manager/presentation/widgets/leads_widget.dart; lib/features/crm/presentation/client_card</x:v>
      </x:c>
      <x:c r="L86" s="9" t="str">
        <x:v>lib/core/services/magic_crm_service*.dart; server/src/crm/crm-*controller.ts</x:v>
      </x:c>
      <x:c r="M86" s="9" t="str">
        <x:v>test/features/crm; server/src/crm/**/*.spec.ts; docs/audits/v6-client-workspace.md</x:v>
      </x:c>
      <x:c r="N86" s="9" t="str">
        <x:v>CODE-BACKED</x:v>
      </x:c>
      <x:c r="O86" s="9" t="str">
        <x:v>PASS</x:v>
      </x:c>
      <x:c r="P86" s="9" t="str">
        <x:v>Post-fix acceptance passed for Lead blacklist: 1 exact named test(s) matched and passed on build 1.2.3+156.</x:v>
      </x:c>
      <x:c r="Q86" s="9" t="str"/>
      <x:c r="R86" s="9" t="str">
        <x:v>P1</x:v>
      </x:c>
      <x:c r="S86" s="9" t="str">
        <x:v>2026-08-06</x:v>
      </x:c>
      <x:c r="T86" s="9" t="str">
        <x:v>evidence/server-test-json-final-156.json</x:v>
      </x:c>
      <x:c r="U86" s="9" t="str">
        <x:v>Server: server/src/crm/blacklist.service.spec.ts :: BlacklistService bans a lead too — the app account may hang off either half</x:v>
      </x:c>
    </x:row>
    <x:row r="87">
      <x:c r="A87" s="9" t="str">
        <x:v>CRM-010</x:v>
      </x:c>
      <x:c r="B87" s="9" t="str">
        <x:v>CRM Clients</x:v>
      </x:c>
      <x:c r="C87" s="9" t="str">
        <x:v>Phone review queue</x:v>
      </x:c>
      <x:c r="D87" s="9" t="str">
        <x:v>staff пользователь</x:v>
      </x:c>
      <x:c r="E87" s="9" t="str">
        <x:v>Как staff пользователь, я хочу обработать сомнительные телефоны, чтобы рабочий сценарий был предсказуемым.</x:v>
      </x:c>
      <x:c r="F87" s="9" t="str">
        <x:v>Пользователь вошёл; Clients destination и нужный resource scope разрешены.</x:v>
      </x:c>
      <x:c r="G87" s="9" t="str">
        <x:v>Открыть Clients/Client workspace и выполнить действие.</x:v>
      </x:c>
      <x:c r="H87" s="9" t="str">
        <x:v>Count и queue согласованы; исправление нормализует телефон или сохраняет явный warning.</x:v>
      </x:c>
      <x:c r="I87" s="9" t="str">
        <x:v>crm.client.write</x:v>
      </x:c>
      <x:c r="J87" s="9" t="str">
        <x:v>Windows, Android</x:v>
      </x:c>
      <x:c r="K87" s="9" t="str">
        <x:v>lib/features/manager/presentation/widgets/leads_widget.dart; lib/features/crm/presentation/client_card</x:v>
      </x:c>
      <x:c r="L87" s="9" t="str">
        <x:v>lib/core/services/magic_crm_service*.dart; server/src/crm/crm-*controller.ts</x:v>
      </x:c>
      <x:c r="M87" s="9" t="str">
        <x:v>test/features/crm; server/src/crm/**/*.spec.ts; docs/audits/v6-client-workspace.md</x:v>
      </x:c>
      <x:c r="N87" s="9" t="str">
        <x:v>CODE-BACKED</x:v>
      </x:c>
      <x:c r="O87" s="9" t="str">
        <x:v>PASS</x:v>
      </x:c>
      <x:c r="P87" s="9" t="str">
        <x:v>Post-fix acceptance passed for Phone review queue: 1 exact named test(s) matched and passed on build 1.2.3+156.</x:v>
      </x:c>
      <x:c r="Q87" s="9" t="str"/>
      <x:c r="R87" s="9" t="str">
        <x:v>P1</x:v>
      </x:c>
      <x:c r="S87" s="9" t="str">
        <x:v>2026-08-06</x:v>
      </x:c>
      <x:c r="T87" s="9" t="str">
        <x:v>evidence/server-test-json-final-156.json</x:v>
      </x:c>
      <x:c r="U87" s="9" t="str">
        <x:v>Server: server/src/crm/phone-review.service.spec.ts :: PhoneReviewService lists open phone-review-queue rows</x:v>
      </x:c>
    </x:row>
    <x:row r="88">
      <x:c r="A88" s="9" t="str">
        <x:v>CRM-011</x:v>
      </x:c>
      <x:c r="B88" s="9" t="str">
        <x:v>CRM Clients</x:v>
      </x:c>
      <x:c r="C88" s="9" t="str">
        <x:v>Duplicate review</x:v>
      </x:c>
      <x:c r="D88" s="9" t="str">
        <x:v>staff пользователь</x:v>
      </x:c>
      <x:c r="E88" s="9" t="str">
        <x:v>Как staff пользователь, я хочу увидеть кандидатов-дубликатов, чтобы рабочий сценарий был предсказуемым.</x:v>
      </x:c>
      <x:c r="F88" s="9" t="str">
        <x:v>Пользователь вошёл; Clients destination и нужный resource scope разрешены.</x:v>
      </x:c>
      <x:c r="G88" s="9" t="str">
        <x:v>Открыть Clients/Client workspace и выполнить действие.</x:v>
      </x:c>
      <x:c r="H88" s="9" t="str">
        <x:v>Пары объясняют совпадение и позволяют подтвердить/отклонить без автоматического destructive merge.</x:v>
      </x:c>
      <x:c r="I88" s="9" t="str">
        <x:v>crm.client.write</x:v>
      </x:c>
      <x:c r="J88" s="9" t="str">
        <x:v>Windows, Android</x:v>
      </x:c>
      <x:c r="K88" s="9" t="str">
        <x:v>lib/features/manager/presentation/widgets/leads_widget.dart; lib/features/crm/presentation/client_card</x:v>
      </x:c>
      <x:c r="L88" s="9" t="str">
        <x:v>lib/core/services/magic_crm_service*.dart; server/src/crm/crm-*controller.ts</x:v>
      </x:c>
      <x:c r="M88" s="9" t="str">
        <x:v>test/features/crm; server/src/crm/**/*.spec.ts; docs/audits/v6-client-workspace.md</x:v>
      </x:c>
      <x:c r="N88" s="9" t="str">
        <x:v>CODE-BACKED</x:v>
      </x:c>
      <x:c r="O88" s="9" t="str">
        <x:v>PASS</x:v>
      </x:c>
      <x:c r="P88" s="9" t="str">
        <x:v>Post-fix acceptance passed for Duplicate review: 1 exact named test(s) matched and passed on build 1.2.3+156.</x:v>
      </x:c>
      <x:c r="Q88" s="9" t="str"/>
      <x:c r="R88" s="9" t="str">
        <x:v>P1</x:v>
      </x:c>
      <x:c r="S88" s="9" t="str">
        <x:v>2026-08-06</x:v>
      </x:c>
      <x:c r="T88" s="9" t="str">
        <x:v>evidence/server-test-json-final-156.json</x:v>
      </x:c>
      <x:c r="U88" s="9" t="str">
        <x:v>Server: server/src/crm/duplicates.service.spec.ts :: DuplicatesService lists and decides duplicate candidates with safe lead-student attach</x:v>
      </x:c>
    </x:row>
    <x:row r="89">
      <x:c r="A89" s="9" t="str">
        <x:v>CRM-012</x:v>
      </x:c>
      <x:c r="B89" s="9" t="str">
        <x:v>CRM Clients</x:v>
      </x:c>
      <x:c r="C89" s="9" t="str">
        <x:v>Merge clients</x:v>
      </x:c>
      <x:c r="D89" s="9" t="str">
        <x:v>разрешённый staff</x:v>
      </x:c>
      <x:c r="E89" s="9" t="str">
        <x:v>Как разрешённый staff, я хочу объединить подтверждённые дубликаты, чтобы рабочий сценарий был предсказуемым.</x:v>
      </x:c>
      <x:c r="F89" s="9" t="str">
        <x:v>Пользователь вошёл; Clients destination и нужный resource scope разрешены.</x:v>
      </x:c>
      <x:c r="G89" s="9" t="str">
        <x:v>Открыть Clients/Client workspace и выполнить действие.</x:v>
      </x:c>
      <x:c r="H89" s="9" t="str">
        <x:v>Preview/choice winner сохраняет связи и пишет merge log; loser не остаётся активным дублем.</x:v>
      </x:c>
      <x:c r="I89" s="9" t="str">
        <x:v>crm.client.write</x:v>
      </x:c>
      <x:c r="J89" s="9" t="str">
        <x:v>Windows, Android</x:v>
      </x:c>
      <x:c r="K89" s="9" t="str">
        <x:v>lib/features/manager/presentation/widgets/leads_widget.dart; lib/features/crm/presentation/client_card</x:v>
      </x:c>
      <x:c r="L89" s="9" t="str">
        <x:v>lib/core/services/magic_crm_service*.dart; server/src/crm/crm-*controller.ts</x:v>
      </x:c>
      <x:c r="M89" s="9" t="str">
        <x:v>test/features/crm; server/src/crm/**/*.spec.ts; docs/audits/v6-client-workspace.md</x:v>
      </x:c>
      <x:c r="N89" s="9" t="str">
        <x:v>CODE-BACKED</x:v>
      </x:c>
      <x:c r="O89" s="9" t="str">
        <x:v>PASS</x:v>
      </x:c>
      <x:c r="P89" s="9" t="str">
        <x:v>Post-fix acceptance passed for Merge clients: 1 exact named test(s) matched and passed on build 1.2.3+156.</x:v>
      </x:c>
      <x:c r="Q89" s="9" t="str"/>
      <x:c r="R89" s="9" t="str">
        <x:v>P0</x:v>
      </x:c>
      <x:c r="S89" s="9" t="str">
        <x:v>2026-08-06</x:v>
      </x:c>
      <x:c r="T89" s="9" t="str">
        <x:v>evidence/server-test-json-final-156.json</x:v>
      </x:c>
      <x:c r="U89" s="9" t="str">
        <x:v>Server: server/src/crm/merge.service.spec.ts :: MergeService mergeLeads re-points references, soft-deletes the loser, and logs</x:v>
      </x:c>
    </x:row>
    <x:row r="90">
      <x:c r="A90" s="9" t="str">
        <x:v>CRM-013</x:v>
      </x:c>
      <x:c r="B90" s="9" t="str">
        <x:v>CRM Clients</x:v>
      </x:c>
      <x:c r="C90" s="9" t="str">
        <x:v>Undo merge</x:v>
      </x:c>
      <x:c r="D90" s="9" t="str">
        <x:v>разрешённый staff</x:v>
      </x:c>
      <x:c r="E90" s="9" t="str">
        <x:v>Как разрешённый staff, я хочу отменить ошибочное объединение, чтобы рабочий сценарий был предсказуемым.</x:v>
      </x:c>
      <x:c r="F90" s="9" t="str">
        <x:v>Пользователь вошёл; Clients destination и нужный resource scope разрешены.</x:v>
      </x:c>
      <x:c r="G90" s="9" t="str">
        <x:v>Открыть Clients/Client workspace и выполнить действие.</x:v>
      </x:c>
      <x:c r="H90" s="9" t="str">
        <x:v>Допустимый merge log восстанавливает записи/связи детерминированно или объясняет невозможность.</x:v>
      </x:c>
      <x:c r="I90" s="9" t="str">
        <x:v>crm.client.write</x:v>
      </x:c>
      <x:c r="J90" s="9" t="str">
        <x:v>Windows, Android</x:v>
      </x:c>
      <x:c r="K90" s="9" t="str">
        <x:v>lib/features/manager/presentation/widgets/leads_widget.dart; lib/features/crm/presentation/client_card</x:v>
      </x:c>
      <x:c r="L90" s="9" t="str">
        <x:v>lib/core/services/magic_crm_service*.dart; server/src/crm/crm-*controller.ts</x:v>
      </x:c>
      <x:c r="M90" s="9" t="str">
        <x:v>test/features/crm; server/src/crm/**/*.spec.ts; docs/audits/v6-client-workspace.md</x:v>
      </x:c>
      <x:c r="N90" s="9" t="str">
        <x:v>CODE-BACKED</x:v>
      </x:c>
      <x:c r="O90" s="9" t="str">
        <x:v>PASS</x:v>
      </x:c>
      <x:c r="P90" s="9" t="str">
        <x:v>Post-fix acceptance passed for Undo merge: 1 exact named test(s) matched and passed on build 1.2.3+156.</x:v>
      </x:c>
      <x:c r="Q90" s="9" t="str"/>
      <x:c r="R90" s="9" t="str">
        <x:v>P0</x:v>
      </x:c>
      <x:c r="S90" s="9" t="str">
        <x:v>2026-08-06</x:v>
      </x:c>
      <x:c r="T90" s="9" t="str">
        <x:v>evidence/server-test-json-final-156.json</x:v>
      </x:c>
      <x:c r="U90" s="9" t="str">
        <x:v>Server: server/src/crm/merge.service.spec.ts :: MergeService undoMerge reverses captured rows, restores the loser, and stamps undone</x:v>
      </x:c>
    </x:row>
    <x:row r="91">
      <x:c r="A91" s="9" t="str">
        <x:v>CRM-014</x:v>
      </x:c>
      <x:c r="B91" s="9" t="str">
        <x:v>CRM Clients</x:v>
      </x:c>
      <x:c r="C91" s="9" t="str">
        <x:v>Convert Lead</x:v>
      </x:c>
      <x:c r="D91" s="9" t="str">
        <x:v>staff пользователь</x:v>
      </x:c>
      <x:c r="E91" s="9" t="str">
        <x:v>Как staff пользователь, я хочу конвертировать Lead в Student, чтобы рабочий сценарий был предсказуемым.</x:v>
      </x:c>
      <x:c r="F91" s="9" t="str">
        <x:v>Пользователь вошёл; Clients destination и нужный resource scope разрешены.</x:v>
      </x:c>
      <x:c r="G91" s="9" t="str">
        <x:v>Открыть Clients/Client workspace и выполнить действие.</x:v>
      </x:c>
      <x:c r="H91" s="9" t="str">
        <x:v>Один Student и conversion link создаются даже при повторе; совместимые fields/relations переносятся.</x:v>
      </x:c>
      <x:c r="I91" s="9" t="str">
        <x:v>crm.client.write</x:v>
      </x:c>
      <x:c r="J91" s="9" t="str">
        <x:v>Windows, Android</x:v>
      </x:c>
      <x:c r="K91" s="9" t="str">
        <x:v>lib/features/manager/presentation/widgets/leads_widget.dart; lib/features/crm/presentation/client_card</x:v>
      </x:c>
      <x:c r="L91" s="9" t="str">
        <x:v>lib/core/services/magic_crm_service*.dart; server/src/crm/crm-*controller.ts</x:v>
      </x:c>
      <x:c r="M91" s="9" t="str">
        <x:v>test/features/crm; server/src/crm/**/*.spec.ts; docs/audits/v6-client-workspace.md</x:v>
      </x:c>
      <x:c r="N91" s="9" t="str">
        <x:v>CODE-BACKED</x:v>
      </x:c>
      <x:c r="O91" s="9" t="str">
        <x:v>PASS</x:v>
      </x:c>
      <x:c r="P91" s="9" t="str">
        <x:v>Post-fix acceptance passed for Convert Lead: 1 exact named test(s) matched and passed on build 1.2.3+156.</x:v>
      </x:c>
      <x:c r="Q91" s="9" t="str"/>
      <x:c r="R91" s="9" t="str">
        <x:v>P0</x:v>
      </x:c>
      <x:c r="S91" s="9" t="str">
        <x:v>2026-08-06</x:v>
      </x:c>
      <x:c r="T91" s="9" t="str">
        <x:v>evidence/server-test-json-final-156.json</x:v>
      </x:c>
      <x:c r="U91" s="9" t="str">
        <x:v>Server: server/src/crm/clients/conversion-postgres.integration.spec.ts :: Lead to Student conversion (PostgreSQL) creates one Student/link concurrently, preserves data, and archives only the Lead</x:v>
      </x:c>
    </x:row>
    <x:row r="92">
      <x:c r="A92" s="9" t="str">
        <x:v>CRM-015</x:v>
      </x:c>
      <x:c r="B92" s="9" t="str">
        <x:v>CRM Clients</x:v>
      </x:c>
      <x:c r="C92" s="9" t="str">
        <x:v>Archive source Lead</x:v>
      </x:c>
      <x:c r="D92" s="9" t="str">
        <x:v>директор</x:v>
      </x:c>
      <x:c r="E92" s="9" t="str">
        <x:v>Как директор, я хочу архивировать Lead после conversion, чтобы рабочий сценарий был предсказуемым.</x:v>
      </x:c>
      <x:c r="F92" s="9" t="str">
        <x:v>Пользователь вошёл; Clients destination и нужный resource scope разрешены.</x:v>
      </x:c>
      <x:c r="G92" s="9" t="str">
        <x:v>Открыть Clients/Client workspace и выполнить действие.</x:v>
      </x:c>
      <x:c r="H92" s="9" t="str">
        <x:v>Source Lead архивируется с expectedVersion/confirm/reason, Student и links сохраняются.</x:v>
      </x:c>
      <x:c r="I92" s="9" t="str">
        <x:v>director/system_admin</x:v>
      </x:c>
      <x:c r="J92" s="9" t="str">
        <x:v>Windows, Android</x:v>
      </x:c>
      <x:c r="K92" s="9" t="str">
        <x:v>lib/features/manager/presentation/widgets/leads_widget.dart; lib/features/crm/presentation/client_card</x:v>
      </x:c>
      <x:c r="L92" s="9" t="str">
        <x:v>lib/core/services/magic_crm_service*.dart; server/src/crm/crm-*controller.ts</x:v>
      </x:c>
      <x:c r="M92" s="9" t="str">
        <x:v>test/features/crm; server/src/crm/**/*.spec.ts; docs/audits/v6-client-workspace.md</x:v>
      </x:c>
      <x:c r="N92" s="9" t="str">
        <x:v>CODE-BACKED</x:v>
      </x:c>
      <x:c r="O92" s="9" t="str">
        <x:v>PASS</x:v>
      </x:c>
      <x:c r="P92" s="9" t="str">
        <x:v>Post-fix acceptance passed for Archive source Lead: 1 exact named test(s) matched and passed on build 1.2.3+156.</x:v>
      </x:c>
      <x:c r="Q92" s="9" t="str"/>
      <x:c r="R92" s="9" t="str">
        <x:v>P0</x:v>
      </x:c>
      <x:c r="S92" s="9" t="str">
        <x:v>2026-08-06</x:v>
      </x:c>
      <x:c r="T92" s="9" t="str">
        <x:v>evidence/server-test-json-final-156.json</x:v>
      </x:c>
      <x:c r="U92" s="9" t="str">
        <x:v>Server: server/src/crm/clients/archive-postgres.integration.spec.ts :: Client archive preview and tombstone (PostgreSQL) denies Admin, requires versioned confirmation, and preserves every linked fact</x:v>
      </x:c>
    </x:row>
    <x:row r="93">
      <x:c r="A93" s="9" t="str">
        <x:v>CRM-016</x:v>
      </x:c>
      <x:c r="B93" s="9" t="str">
        <x:v>CRM Clients</x:v>
      </x:c>
      <x:c r="C93" s="9" t="str">
        <x:v>Client archive preview</x:v>
      </x:c>
      <x:c r="D93" s="9" t="str">
        <x:v>директор</x:v>
      </x:c>
      <x:c r="E93" s="9" t="str">
        <x:v>Как директор, я хочу увидеть влияние удаления клиента, чтобы рабочий сценарий был предсказуемым.</x:v>
      </x:c>
      <x:c r="F93" s="9" t="str">
        <x:v>Пользователь вошёл; Clients destination и нужный resource scope разрешены.</x:v>
      </x:c>
      <x:c r="G93" s="9" t="str">
        <x:v>Открыть Clients/Client workspace и выполнить действие.</x:v>
      </x:c>
      <x:c r="H93" s="9" t="str">
        <x:v>Preview перечисляет future lessons/tasks/subscription/finance impact без mutation.</x:v>
      </x:c>
      <x:c r="I93" s="9" t="str">
        <x:v>director/system_admin</x:v>
      </x:c>
      <x:c r="J93" s="9" t="str">
        <x:v>Windows, Android</x:v>
      </x:c>
      <x:c r="K93" s="9" t="str">
        <x:v>lib/features/manager/presentation/widgets/leads_widget.dart; lib/features/crm/presentation/client_card</x:v>
      </x:c>
      <x:c r="L93" s="9" t="str">
        <x:v>lib/core/services/magic_crm_service*.dart; server/src/crm/crm-*controller.ts</x:v>
      </x:c>
      <x:c r="M93" s="9" t="str">
        <x:v>test/features/crm; server/src/crm/**/*.spec.ts; docs/audits/v6-client-workspace.md</x:v>
      </x:c>
      <x:c r="N93" s="9" t="str">
        <x:v>CODE-BACKED</x:v>
      </x:c>
      <x:c r="O93" s="9" t="str">
        <x:v>PASS</x:v>
      </x:c>
      <x:c r="P93" s="9" t="str">
        <x:v>Post-fix acceptance passed for Client archive preview: 1 exact named test(s) matched and passed on build 1.2.3+156.</x:v>
      </x:c>
      <x:c r="Q93" s="9" t="str"/>
      <x:c r="R93" s="9" t="str">
        <x:v>P0</x:v>
      </x:c>
      <x:c r="S93" s="9" t="str">
        <x:v>2026-08-06</x:v>
      </x:c>
      <x:c r="T93" s="9" t="str">
        <x:v>evidence/server-test-json-final-156.json</x:v>
      </x:c>
      <x:c r="U93" s="9" t="str">
        <x:v>Server: server/src/crm/clients/archive-postgres.integration.spec.ts :: Client archive preview and tombstone (PostgreSQL) denies Admin, requires versioned confirmation, and preserves every linked fact</x:v>
      </x:c>
    </x:row>
    <x:row r="94">
      <x:c r="A94" s="9" t="str">
        <x:v>CRM-017</x:v>
      </x:c>
      <x:c r="B94" s="9" t="str">
        <x:v>CRM Clients</x:v>
      </x:c>
      <x:c r="C94" s="9" t="str">
        <x:v>Archive client</x:v>
      </x:c>
      <x:c r="D94" s="9" t="str">
        <x:v>директор</x:v>
      </x:c>
      <x:c r="E94" s="9" t="str">
        <x:v>Как директор, я хочу архивировать клиента безопасно, чтобы рабочий сценарий был предсказуемым.</x:v>
      </x:c>
      <x:c r="F94" s="9" t="str">
        <x:v>Пользователь вошёл; Clients destination и нужный resource scope разрешены.</x:v>
      </x:c>
      <x:c r="G94" s="9" t="str">
        <x:v>Открыть Clients/Client workspace и выполнить действие.</x:v>
      </x:c>
      <x:c r="H94" s="9" t="str">
        <x:v>Требуются expectedVersion, confirm и reason; tombstone/history/financial facts сохраняются.</x:v>
      </x:c>
      <x:c r="I94" s="9" t="str">
        <x:v>director/system_admin</x:v>
      </x:c>
      <x:c r="J94" s="9" t="str">
        <x:v>Windows, Android</x:v>
      </x:c>
      <x:c r="K94" s="9" t="str">
        <x:v>lib/features/manager/presentation/widgets/leads_widget.dart; lib/features/crm/presentation/client_card</x:v>
      </x:c>
      <x:c r="L94" s="9" t="str">
        <x:v>lib/core/services/magic_crm_service*.dart; server/src/crm/crm-*controller.ts</x:v>
      </x:c>
      <x:c r="M94" s="9" t="str">
        <x:v>test/features/crm; server/src/crm/**/*.spec.ts; docs/audits/v6-client-workspace.md</x:v>
      </x:c>
      <x:c r="N94" s="9" t="str">
        <x:v>CODE-BACKED</x:v>
      </x:c>
      <x:c r="O94" s="9" t="str">
        <x:v>PASS</x:v>
      </x:c>
      <x:c r="P94" s="9" t="str">
        <x:v>Post-fix acceptance passed for Archive client: 1 exact named test(s) matched and passed on build 1.2.3+156.</x:v>
      </x:c>
      <x:c r="Q94" s="9" t="str"/>
      <x:c r="R94" s="9" t="str">
        <x:v>P0</x:v>
      </x:c>
      <x:c r="S94" s="9" t="str">
        <x:v>2026-08-06</x:v>
      </x:c>
      <x:c r="T94" s="9" t="str">
        <x:v>evidence/server-test-json-final-156.json</x:v>
      </x:c>
      <x:c r="U94" s="9" t="str">
        <x:v>Server: server/src/crm/clients/archive-postgres.integration.spec.ts :: Client archive preview and tombstone (PostgreSQL) denies Admin, requires versioned confirmation, and preserves every linked fact</x:v>
      </x:c>
    </x:row>
    <x:row r="95">
      <x:c r="A95" s="9" t="str">
        <x:v>CRM-018</x:v>
      </x:c>
      <x:c r="B95" s="9" t="str">
        <x:v>CRM Clients</x:v>
      </x:c>
      <x:c r="C95" s="9" t="str">
        <x:v>Student list</x:v>
      </x:c>
      <x:c r="D95" s="9" t="str">
        <x:v>staff/assigned teacher</x:v>
      </x:c>
      <x:c r="E95" s="9" t="str">
        <x:v>Как staff/assigned teacher, я хочу видеть доступных Students, чтобы рабочий сценарий был предсказуемым.</x:v>
      </x:c>
      <x:c r="F95" s="9" t="str">
        <x:v>Пользователь вошёл; Clients destination и нужный resource scope разрешены.</x:v>
      </x:c>
      <x:c r="G95" s="9" t="str">
        <x:v>Открыть Clients/Client workspace и выполнить действие.</x:v>
      </x:c>
      <x:c r="H95" s="9" t="str">
        <x:v>Projection и поля соответствуют actor scope; Teacher не получает contact/finance/private data.</x:v>
      </x:c>
      <x:c r="I95" s="9" t="str">
        <x:v>actor client scope</x:v>
      </x:c>
      <x:c r="J95" s="9" t="str">
        <x:v>Windows, Android</x:v>
      </x:c>
      <x:c r="K95" s="9" t="str">
        <x:v>lib/features/manager/presentation/widgets/leads_widget.dart; lib/features/crm/presentation/client_card</x:v>
      </x:c>
      <x:c r="L95" s="9" t="str">
        <x:v>lib/core/services/magic_crm_service*.dart; server/src/crm/crm-*controller.ts</x:v>
      </x:c>
      <x:c r="M95" s="9" t="str">
        <x:v>test/features/crm; server/src/crm/**/*.spec.ts; docs/audits/v6-client-workspace.md</x:v>
      </x:c>
      <x:c r="N95" s="9" t="str">
        <x:v>CODE-BACKED</x:v>
      </x:c>
      <x:c r="O95" s="9" t="str">
        <x:v>PASS</x:v>
      </x:c>
      <x:c r="P95" s="9" t="str">
        <x:v>Post-fix acceptance passed for Student list: 1 exact named test(s) matched and passed on build 1.2.3+156.</x:v>
      </x:c>
      <x:c r="Q95" s="9" t="str"/>
      <x:c r="R95" s="9" t="str">
        <x:v>P0</x:v>
      </x:c>
      <x:c r="S95" s="9" t="str">
        <x:v>2026-08-06</x:v>
      </x:c>
      <x:c r="T95" s="9" t="str">
        <x:v>evidence/flutter-test-machine-final-156.ndjson</x:v>
      </x:c>
      <x:c r="U95" s="9" t="str">
        <x:v>Flutter: test/features/v4/client_card_roles_test.dart :: Teacher card renders only learning sections on narrow layout</x:v>
      </x:c>
    </x:row>
    <x:row r="96">
      <x:c r="A96" s="9" t="str">
        <x:v>CRM-019</x:v>
      </x:c>
      <x:c r="B96" s="9" t="str">
        <x:v>CRM Clients</x:v>
      </x:c>
      <x:c r="C96" s="9" t="str">
        <x:v>Student search typing</x:v>
      </x:c>
      <x:c r="D96" s="9" t="str">
        <x:v>staff/assigned teacher</x:v>
      </x:c>
      <x:c r="E96" s="9" t="str">
        <x:v>Как staff/assigned teacher, я хочу ввести ФИО без restart, чтобы рабочий сценарий был предсказуемым.</x:v>
      </x:c>
      <x:c r="F96" s="9" t="str">
        <x:v>Пользователь вошёл; Clients destination и нужный resource scope разрешены.</x:v>
      </x:c>
      <x:c r="G96" s="9" t="str">
        <x:v>Открыть Clients/Client workspace и выполнить действие.</x:v>
      </x:c>
      <x:c r="H96" s="9" t="str">
        <x:v>Значение/focus сохраняются на каждом символе; запрос/фильтр не пересоздаёт route.</x:v>
      </x:c>
      <x:c r="I96" s="9" t="str">
        <x:v>actor client scope</x:v>
      </x:c>
      <x:c r="J96" s="9" t="str">
        <x:v>Windows, Android</x:v>
      </x:c>
      <x:c r="K96" s="9" t="str">
        <x:v>lib/features/manager/presentation/widgets/leads_widget.dart; lib/features/crm/presentation/client_card</x:v>
      </x:c>
      <x:c r="L96" s="9" t="str">
        <x:v>lib/core/services/magic_crm_service*.dart; server/src/crm/crm-*controller.ts</x:v>
      </x:c>
      <x:c r="M96" s="9" t="str">
        <x:v>test/features/crm; server/src/crm/**/*.spec.ts; docs/audits/v6-client-workspace.md</x:v>
      </x:c>
      <x:c r="N96" s="9" t="str">
        <x:v>CODE-BACKED</x:v>
      </x:c>
      <x:c r="O96" s="9" t="str">
        <x:v>PASS</x:v>
      </x:c>
      <x:c r="P96" s="9" t="str">
        <x:v>Post-fix acceptance passed for Student search typing: 1 exact named test(s) matched and passed on build 1.2.3+156.</x:v>
      </x:c>
      <x:c r="Q96" s="9" t="str"/>
      <x:c r="R96" s="9" t="str">
        <x:v>P0</x:v>
      </x:c>
      <x:c r="S96" s="9" t="str">
        <x:v>2026-08-06</x:v>
      </x:c>
      <x:c r="T96" s="9" t="str">
        <x:v>evidence/flutter-test-machine-final-156.ndjson</x:v>
      </x:c>
      <x:c r="U96" s="9" t="str">
        <x:v>Flutter: test/features/manager/realtime_poll_ux_test.dart :: student search is local and keeps focus while typing</x:v>
      </x:c>
    </x:row>
    <x:row r="97">
      <x:c r="A97" s="9" t="str">
        <x:v>CRM-020</x:v>
      </x:c>
      <x:c r="B97" s="9" t="str">
        <x:v>CRM Clients</x:v>
      </x:c>
      <x:c r="C97" s="9" t="str">
        <x:v>Create Student</x:v>
      </x:c>
      <x:c r="D97" s="9" t="str">
        <x:v>staff пользователь</x:v>
      </x:c>
      <x:c r="E97" s="9" t="str">
        <x:v>Как staff пользователь, я хочу создать Student напрямую, чтобы рабочий сценарий был предсказуемым.</x:v>
      </x:c>
      <x:c r="F97" s="9" t="str">
        <x:v>Пользователь вошёл; Clients destination и нужный resource scope разрешены.</x:v>
      </x:c>
      <x:c r="G97" s="9" t="str">
        <x:v>Открыть Clients/Client workspace и выполнить действие.</x:v>
      </x:c>
      <x:c r="H97" s="9" t="str">
        <x:v>Required effective fields валидируются, duplicate risk обрабатывается, запись появляется один раз.</x:v>
      </x:c>
      <x:c r="I97" s="9" t="str">
        <x:v>crm.client.write</x:v>
      </x:c>
      <x:c r="J97" s="9" t="str">
        <x:v>Windows, Android</x:v>
      </x:c>
      <x:c r="K97" s="9" t="str">
        <x:v>lib/features/manager/presentation/widgets/leads_widget.dart; lib/features/crm/presentation/client_card</x:v>
      </x:c>
      <x:c r="L97" s="9" t="str">
        <x:v>lib/core/services/magic_crm_service*.dart; server/src/crm/crm-*controller.ts</x:v>
      </x:c>
      <x:c r="M97" s="9" t="str">
        <x:v>test/features/crm; server/src/crm/**/*.spec.ts; docs/audits/v6-client-workspace.md</x:v>
      </x:c>
      <x:c r="N97" s="9" t="str">
        <x:v>CODE-BACKED</x:v>
      </x:c>
      <x:c r="O97" s="9" t="str">
        <x:v>PASS</x:v>
      </x:c>
      <x:c r="P97" s="9" t="str">
        <x:v>Post-fix acceptance passed for Create Student: 1 exact named test(s) matched and passed on build 1.2.3+156.</x:v>
      </x:c>
      <x:c r="Q97" s="9" t="str"/>
      <x:c r="R97" s="9" t="str">
        <x:v>P0</x:v>
      </x:c>
      <x:c r="S97" s="9" t="str">
        <x:v>2026-08-06</x:v>
      </x:c>
      <x:c r="T97" s="9" t="str">
        <x:v>evidence/flutter-test-machine-final-156.ndjson</x:v>
      </x:c>
      <x:c r="U97" s="9" t="str">
        <x:v>Flutter: test/core/services/magic_crm_service_test.dart :: MagicCrmService creates students teachers and staff through v3 API</x:v>
      </x:c>
    </x:row>
    <x:row r="98">
      <x:c r="A98" s="9" t="str">
        <x:v>CRM-021</x:v>
      </x:c>
      <x:c r="B98" s="9" t="str">
        <x:v>CRM Clients</x:v>
      </x:c>
      <x:c r="C98" s="9" t="str">
        <x:v>Edit Student</x:v>
      </x:c>
      <x:c r="D98" s="9" t="str">
        <x:v>staff пользователь</x:v>
      </x:c>
      <x:c r="E98" s="9" t="str">
        <x:v>Как staff пользователь, я хочу изменить Student, чтобы рабочий сценарий был предсказуемым.</x:v>
      </x:c>
      <x:c r="F98" s="9" t="str">
        <x:v>Пользователь вошёл; Clients destination и нужный resource scope разрешены.</x:v>
      </x:c>
      <x:c r="G98" s="9" t="str">
        <x:v>Открыть Clients/Client workspace и выполнить действие.</x:v>
      </x:c>
      <x:c r="H98" s="9" t="str">
        <x:v>Версия и effective fields сохраняются; несовместимые custom values не теряются молча.</x:v>
      </x:c>
      <x:c r="I98" s="9" t="str">
        <x:v>crm.client.write + scope</x:v>
      </x:c>
      <x:c r="J98" s="9" t="str">
        <x:v>Windows, Android</x:v>
      </x:c>
      <x:c r="K98" s="9" t="str">
        <x:v>lib/features/manager/presentation/widgets/leads_widget.dart; lib/features/crm/presentation/client_card</x:v>
      </x:c>
      <x:c r="L98" s="9" t="str">
        <x:v>lib/core/services/magic_crm_service*.dart; server/src/crm/crm-*controller.ts</x:v>
      </x:c>
      <x:c r="M98" s="9" t="str">
        <x:v>test/features/crm; server/src/crm/**/*.spec.ts; docs/audits/v6-client-workspace.md</x:v>
      </x:c>
      <x:c r="N98" s="9" t="str">
        <x:v>CODE-BACKED</x:v>
      </x:c>
      <x:c r="O98" s="9" t="str">
        <x:v>PASS</x:v>
      </x:c>
      <x:c r="P98" s="9" t="str">
        <x:v>Post-fix acceptance passed for Edit Student: 1 exact named test(s) matched and passed on build 1.2.3+156.</x:v>
      </x:c>
      <x:c r="Q98" s="9" t="str"/>
      <x:c r="R98" s="9" t="str">
        <x:v>P0</x:v>
      </x:c>
      <x:c r="S98" s="9" t="str">
        <x:v>2026-08-06</x:v>
      </x:c>
      <x:c r="T98" s="9" t="str">
        <x:v>evidence/flutter-test-machine-final-156.ndjson</x:v>
      </x:c>
      <x:c r="U98" s="9" t="str">
        <x:v>Flutter: test/core/services/magic_crm_service_test.dart :: MagicCrmService gets updates students and creates comments through v3 API</x:v>
      </x:c>
    </x:row>
    <x:row r="99">
      <x:c r="A99" s="9" t="str">
        <x:v>CRM-022</x:v>
      </x:c>
      <x:c r="B99" s="9" t="str">
        <x:v>CRM Clients</x:v>
      </x:c>
      <x:c r="C99" s="9" t="str">
        <x:v>Move Student stage</x:v>
      </x:c>
      <x:c r="D99" s="9" t="str">
        <x:v>staff пользователь</x:v>
      </x:c>
      <x:c r="E99" s="9" t="str">
        <x:v>Как staff пользователь, я хочу изменить Student funnel state, чтобы рабочий сценарий был предсказуемым.</x:v>
      </x:c>
      <x:c r="F99" s="9" t="str">
        <x:v>Пользователь вошёл; Clients destination и нужный resource scope разрешены.</x:v>
      </x:c>
      <x:c r="G99" s="9" t="str">
        <x:v>Открыть Clients/Client workspace и выполнить действие.</x:v>
      </x:c>
      <x:c r="H99" s="9" t="str">
        <x:v>Используется опубликованный Student pipeline и разрешённый transition; counts согласованы.</x:v>
      </x:c>
      <x:c r="I99" s="9" t="str">
        <x:v>crm.client.write</x:v>
      </x:c>
      <x:c r="J99" s="9" t="str">
        <x:v>Windows, Android</x:v>
      </x:c>
      <x:c r="K99" s="9" t="str">
        <x:v>lib/features/manager/presentation/widgets/leads_widget.dart; lib/features/crm/presentation/client_card</x:v>
      </x:c>
      <x:c r="L99" s="9" t="str">
        <x:v>lib/core/services/magic_crm_service*.dart; server/src/crm/crm-*controller.ts</x:v>
      </x:c>
      <x:c r="M99" s="9" t="str">
        <x:v>test/features/crm; server/src/crm/**/*.spec.ts; docs/audits/v6-client-workspace.md</x:v>
      </x:c>
      <x:c r="N99" s="9" t="str">
        <x:v>CODE-BACKED</x:v>
      </x:c>
      <x:c r="O99" s="9" t="str">
        <x:v>PASS</x:v>
      </x:c>
      <x:c r="P99" s="9" t="str">
        <x:v>Post-fix acceptance passed for Move Student stage: 1 exact named test(s) matched and passed on build 1.2.3+156.</x:v>
      </x:c>
      <x:c r="Q99" s="9" t="str"/>
      <x:c r="R99" s="9" t="str">
        <x:v>P1</x:v>
      </x:c>
      <x:c r="S99" s="9" t="str">
        <x:v>2026-08-06</x:v>
      </x:c>
      <x:c r="T99" s="9" t="str">
        <x:v>evidence/server-test-json-final-156.json</x:v>
      </x:c>
      <x:c r="U99" s="9" t="str">
        <x:v>Server: server/src/crm/crm.service.spec.ts :: CrmService records a student_status_history row when status changes</x:v>
      </x:c>
    </x:row>
    <x:row r="100">
      <x:c r="A100" s="9" t="str">
        <x:v>CRM-023</x:v>
      </x:c>
      <x:c r="B100" s="9" t="str">
        <x:v>CRM Clients</x:v>
      </x:c>
      <x:c r="C100" s="9" t="str">
        <x:v>Return Student to Lead</x:v>
      </x:c>
      <x:c r="D100" s="9" t="str">
        <x:v>разрешённый staff</x:v>
      </x:c>
      <x:c r="E100" s="9" t="str">
        <x:v>Как разрешённый staff, я хочу вернуть Student в Lead workflow, чтобы рабочий сценарий был предсказуемым.</x:v>
      </x:c>
      <x:c r="F100" s="9" t="str">
        <x:v>Пользователь вошёл; Clients destination и нужный resource scope разрешены.</x:v>
      </x:c>
      <x:c r="G100" s="9" t="str">
        <x:v>Открыть Clients/Client workspace и выполнить действие.</x:v>
      </x:c>
      <x:c r="H100" s="9" t="str">
        <x:v>Операция сохраняет identity/conversion history и не дублирует исходного клиента.</x:v>
      </x:c>
      <x:c r="I100" s="9" t="str">
        <x:v>crm.client.write</x:v>
      </x:c>
      <x:c r="J100" s="9" t="str">
        <x:v>Windows, Android</x:v>
      </x:c>
      <x:c r="K100" s="9" t="str">
        <x:v>lib/features/manager/presentation/widgets/leads_widget.dart; lib/features/crm/presentation/client_card</x:v>
      </x:c>
      <x:c r="L100" s="9" t="str">
        <x:v>lib/core/services/magic_crm_service*.dart; server/src/crm/crm-*controller.ts</x:v>
      </x:c>
      <x:c r="M100" s="9" t="str">
        <x:v>test/features/crm; server/src/crm/**/*.spec.ts; docs/audits/v6-client-workspace.md</x:v>
      </x:c>
      <x:c r="N100" s="9" t="str">
        <x:v>CODE-BACKED</x:v>
      </x:c>
      <x:c r="O100" s="9" t="str">
        <x:v>PASS</x:v>
      </x:c>
      <x:c r="P100" s="9" t="str">
        <x:v>Post-fix acceptance passed for Return Student to Lead: 1 exact named test(s) matched and passed on build 1.2.3+156.</x:v>
      </x:c>
      <x:c r="Q100" s="9" t="str"/>
      <x:c r="R100" s="9" t="str">
        <x:v>P1</x:v>
      </x:c>
      <x:c r="S100" s="9" t="str">
        <x:v>2026-08-06</x:v>
      </x:c>
      <x:c r="T100" s="9" t="str">
        <x:v>evidence/server-test-json-final-156.json</x:v>
      </x:c>
      <x:c r="U100" s="9" t="str">
        <x:v>Server: server/src/crm/crm.service.spec.ts :: CrmService returns a linked student back to its existing lead</x:v>
      </x:c>
    </x:row>
    <x:row r="101">
      <x:c r="A101" s="9" t="str">
        <x:v>CRM-024</x:v>
      </x:c>
      <x:c r="B101" s="9" t="str">
        <x:v>CRM Clients</x:v>
      </x:c>
      <x:c r="C101" s="9" t="str">
        <x:v>Invite Student</x:v>
      </x:c>
      <x:c r="D101" s="9" t="str">
        <x:v>staff пользователь</x:v>
      </x:c>
      <x:c r="E101" s="9" t="str">
        <x:v>Как staff пользователь, я хочу пригласить клиента в portal, чтобы рабочий сценарий был предсказуемым.</x:v>
      </x:c>
      <x:c r="F101" s="9" t="str">
        <x:v>Пользователь вошёл; Clients destination и нужный resource scope разрешены.</x:v>
      </x:c>
      <x:c r="G101" s="9" t="str">
        <x:v>Открыть Clients/Client workspace и выполнить действие.</x:v>
      </x:c>
      <x:c r="H101" s="9" t="str">
        <x:v>Invite связывает/создаёт user безопасно, повтор не создаёт второй account.</x:v>
      </x:c>
      <x:c r="I101" s="9" t="str">
        <x:v>crm.client.write</x:v>
      </x:c>
      <x:c r="J101" s="9" t="str">
        <x:v>Windows, Android</x:v>
      </x:c>
      <x:c r="K101" s="9" t="str">
        <x:v>lib/features/manager/presentation/widgets/leads_widget.dart; lib/features/crm/presentation/client_card</x:v>
      </x:c>
      <x:c r="L101" s="9" t="str">
        <x:v>lib/core/services/magic_crm_service*.dart; server/src/crm/crm-*controller.ts</x:v>
      </x:c>
      <x:c r="M101" s="9" t="str">
        <x:v>test/features/crm; server/src/crm/**/*.spec.ts; docs/audits/v6-client-workspace.md</x:v>
      </x:c>
      <x:c r="N101" s="9" t="str">
        <x:v>CODE-BACKED</x:v>
      </x:c>
      <x:c r="O101" s="9" t="str">
        <x:v>PASS</x:v>
      </x:c>
      <x:c r="P101" s="9" t="str">
        <x:v>Post-fix acceptance passed for Invite Student: 1 exact named test(s) matched and passed on build 1.2.3+156.</x:v>
      </x:c>
      <x:c r="Q101" s="9" t="str"/>
      <x:c r="R101" s="9" t="str">
        <x:v>P1</x:v>
      </x:c>
      <x:c r="S101" s="9" t="str">
        <x:v>2026-08-06</x:v>
      </x:c>
      <x:c r="T101" s="9" t="str">
        <x:v>evidence/server-test-json-final-156.json</x:v>
      </x:c>
      <x:c r="U101" s="9" t="str">
        <x:v>Server: server/src/crm/crm.service.spec.ts :: CrmService queues student invitation email without activating app account</x:v>
      </x:c>
    </x:row>
    <x:row r="102">
      <x:c r="A102" s="9" t="str">
        <x:v>CRM-025</x:v>
      </x:c>
      <x:c r="B102" s="9" t="str">
        <x:v>CRM Clients</x:v>
      </x:c>
      <x:c r="C102" s="9" t="str">
        <x:v>Open client workspace</x:v>
      </x:c>
      <x:c r="D102" s="9" t="str">
        <x:v>staff/assigned teacher</x:v>
      </x:c>
      <x:c r="E102" s="9" t="str">
        <x:v>Как staff/assigned teacher, я хочу открыть canonical карточку клиента, чтобы рабочий сценарий был предсказуемым.</x:v>
      </x:c>
      <x:c r="F102" s="9" t="str">
        <x:v>Пользователь вошёл; Clients destination и нужный resource scope разрешены.</x:v>
      </x:c>
      <x:c r="G102" s="9" t="str">
        <x:v>Открыть Clients/Client workspace и выполнить действие.</x:v>
      </x:c>
      <x:c r="H102" s="9" t="str">
        <x:v>Открывается human-labelled Student/Lead route с actor-safe tabs and states.</x:v>
      </x:c>
      <x:c r="I102" s="9" t="str">
        <x:v>actor client scope</x:v>
      </x:c>
      <x:c r="J102" s="9" t="str">
        <x:v>Windows, Android</x:v>
      </x:c>
      <x:c r="K102" s="9" t="str">
        <x:v>lib/features/manager/presentation/widgets/leads_widget.dart; lib/features/crm/presentation/client_card</x:v>
      </x:c>
      <x:c r="L102" s="9" t="str">
        <x:v>lib/core/services/magic_crm_service*.dart; server/src/crm/crm-*controller.ts</x:v>
      </x:c>
      <x:c r="M102" s="9" t="str">
        <x:v>test/features/crm; server/src/crm/**/*.spec.ts; docs/audits/v6-client-workspace.md</x:v>
      </x:c>
      <x:c r="N102" s="9" t="str">
        <x:v>CODE-BACKED</x:v>
      </x:c>
      <x:c r="O102" s="9" t="str">
        <x:v>RETEST PASS</x:v>
      </x:c>
      <x:c r="P102" s="9" t="str">
        <x:v>Student header and lessons used Russian lifecycle labels and `dd.MM.yyyy HH:mm` dates; raw ISO and enum values were absent.</x:v>
      </x:c>
      <x:c r="Q102" s="9" t="str">
        <x:v>ERR-005</x:v>
      </x:c>
      <x:c r="R102" s="9" t="str">
        <x:v>P0</x:v>
      </x:c>
      <x:c r="S102" s="9" t="str">
        <x:v>2026-08-06</x:v>
      </x:c>
      <x:c r="T102" s="9" t="str">
        <x:v>evidence/postfix-teacher-client-card.txt</x:v>
      </x:c>
      <x:c r="U102" s="9" t="str">
        <x:v>Actor-safe tabs remained unchanged.</x:v>
      </x:c>
    </x:row>
    <x:row r="103">
      <x:c r="A103" s="9" t="str">
        <x:v>CRM-026</x:v>
      </x:c>
      <x:c r="B103" s="9" t="str">
        <x:v>CRM Clients</x:v>
      </x:c>
      <x:c r="C103" s="9" t="str">
        <x:v>Client tab navigation</x:v>
      </x:c>
      <x:c r="D103" s="9" t="str">
        <x:v>staff пользователь</x:v>
      </x:c>
      <x:c r="E103" s="9" t="str">
        <x:v>Как staff пользователь, я хочу переключать Overview/Lessons/Payments/Tasks/History, чтобы рабочий сценарий был предсказуемым.</x:v>
      </x:c>
      <x:c r="F103" s="9" t="str">
        <x:v>Пользователь вошёл; Clients destination и нужный resource scope разрешены.</x:v>
      </x:c>
      <x:c r="G103" s="9" t="str">
        <x:v>Открыть Clients/Client workspace и выполнить действие.</x:v>
      </x:c>
      <x:c r="H103" s="9" t="str">
        <x:v>Tabs не создают параллельные данные; текущий tab сохраняется в workspace state.</x:v>
      </x:c>
      <x:c r="I103" s="9" t="str">
        <x:v>capability projected</x:v>
      </x:c>
      <x:c r="J103" s="9" t="str">
        <x:v>Windows, Android</x:v>
      </x:c>
      <x:c r="K103" s="9" t="str">
        <x:v>lib/features/manager/presentation/widgets/leads_widget.dart; lib/features/crm/presentation/client_card</x:v>
      </x:c>
      <x:c r="L103" s="9" t="str">
        <x:v>lib/core/services/magic_crm_service*.dart; server/src/crm/crm-*controller.ts</x:v>
      </x:c>
      <x:c r="M103" s="9" t="str">
        <x:v>test/features/crm; server/src/crm/**/*.spec.ts; docs/audits/v6-client-workspace.md</x:v>
      </x:c>
      <x:c r="N103" s="9" t="str">
        <x:v>CODE-BACKED</x:v>
      </x:c>
      <x:c r="O103" s="9" t="str">
        <x:v>PASS</x:v>
      </x:c>
      <x:c r="P103" s="9" t="str">
        <x:v>Post-fix acceptance passed for Client tab navigation: 1 exact named test(s) matched and passed on build 1.2.3+156.</x:v>
      </x:c>
      <x:c r="Q103" s="9" t="str"/>
      <x:c r="R103" s="9" t="str">
        <x:v>P1</x:v>
      </x:c>
      <x:c r="S103" s="9" t="str">
        <x:v>2026-08-06</x:v>
      </x:c>
      <x:c r="T103" s="9" t="str">
        <x:v>evidence/flutter-test-machine-final-156.ndjson</x:v>
      </x:c>
      <x:c r="U103" s="9" t="str">
        <x:v>Flutter: test/features/v6/client_workspace_route_test.dart :: admin fills 840 and restores section</x:v>
      </x:c>
    </x:row>
    <x:row r="104">
      <x:c r="A104" s="9" t="str">
        <x:v>CRM-027</x:v>
      </x:c>
      <x:c r="B104" s="9" t="str">
        <x:v>CRM Clients</x:v>
      </x:c>
      <x:c r="C104" s="9" t="str">
        <x:v>Client timeline</x:v>
      </x:c>
      <x:c r="D104" s="9" t="str">
        <x:v>staff/assigned teacher</x:v>
      </x:c>
      <x:c r="E104" s="9" t="str">
        <x:v>Как staff/assigned teacher, я хочу видеть хронологию, чтобы рабочий сценарий был предсказуемым.</x:v>
      </x:c>
      <x:c r="F104" s="9" t="str">
        <x:v>Пользователь вошёл; Clients destination и нужный resource scope разрешены.</x:v>
      </x:c>
      <x:c r="G104" s="9" t="str">
        <x:v>Открыть Clients/Client workspace и выполнить действие.</x:v>
      </x:c>
      <x:c r="H104" s="9" t="str">
        <x:v>События сортируются по времени и скрывают fields, запрещённые actor projection.</x:v>
      </x:c>
      <x:c r="I104" s="9" t="str">
        <x:v>actor client scope</x:v>
      </x:c>
      <x:c r="J104" s="9" t="str">
        <x:v>Windows, Android</x:v>
      </x:c>
      <x:c r="K104" s="9" t="str">
        <x:v>lib/features/manager/presentation/widgets/leads_widget.dart; lib/features/crm/presentation/client_card</x:v>
      </x:c>
      <x:c r="L104" s="9" t="str">
        <x:v>lib/core/services/magic_crm_service*.dart; server/src/crm/crm-*controller.ts</x:v>
      </x:c>
      <x:c r="M104" s="9" t="str">
        <x:v>test/features/crm; server/src/crm/**/*.spec.ts; docs/audits/v6-client-workspace.md</x:v>
      </x:c>
      <x:c r="N104" s="9" t="str">
        <x:v>CODE-BACKED</x:v>
      </x:c>
      <x:c r="O104" s="9" t="str">
        <x:v>PASS</x:v>
      </x:c>
      <x:c r="P104" s="9" t="str">
        <x:v>Post-fix acceptance passed for Client timeline: 1 exact named test(s) matched and passed on build 1.2.3+156.</x:v>
      </x:c>
      <x:c r="Q104" s="9" t="str"/>
      <x:c r="R104" s="9" t="str">
        <x:v>P1</x:v>
      </x:c>
      <x:c r="S104" s="9" t="str">
        <x:v>2026-08-06</x:v>
      </x:c>
      <x:c r="T104" s="9" t="str">
        <x:v>evidence/server-test-json-final-156.json</x:v>
      </x:c>
      <x:c r="U104" s="9" t="str">
        <x:v>Server: server/src/crm/leads.service.spec.ts :: LeadsService returns lead card aggregate with linked records and timeline</x:v>
      </x:c>
    </x:row>
    <x:row r="105">
      <x:c r="A105" s="9" t="str">
        <x:v>CRM-028</x:v>
      </x:c>
      <x:c r="B105" s="9" t="str">
        <x:v>CRM Clients</x:v>
      </x:c>
      <x:c r="C105" s="9" t="str">
        <x:v>Client comments</x:v>
      </x:c>
      <x:c r="D105" s="9" t="str">
        <x:v>staff/teacher</x:v>
      </x:c>
      <x:c r="E105" s="9" t="str">
        <x:v>Как staff/teacher, я хочу добавить комментарий, чтобы рабочий сценарий был предсказуемым.</x:v>
      </x:c>
      <x:c r="F105" s="9" t="str">
        <x:v>Пользователь вошёл; Clients destination и нужный resource scope разрешены.</x:v>
      </x:c>
      <x:c r="G105" s="9" t="str">
        <x:v>Открыть Clients/Client workspace и выполнить действие.</x:v>
      </x:c>
      <x:c r="H105" s="9" t="str">
        <x:v>Комментарий сохраняется один раз; teacher видит только shared comments.</x:v>
      </x:c>
      <x:c r="I105" s="9" t="str">
        <x:v>comment policy</x:v>
      </x:c>
      <x:c r="J105" s="9" t="str">
        <x:v>Windows, Android</x:v>
      </x:c>
      <x:c r="K105" s="9" t="str">
        <x:v>lib/features/manager/presentation/widgets/leads_widget.dart; lib/features/crm/presentation/client_card</x:v>
      </x:c>
      <x:c r="L105" s="9" t="str">
        <x:v>lib/core/services/magic_crm_service*.dart; server/src/crm/crm-*controller.ts</x:v>
      </x:c>
      <x:c r="M105" s="9" t="str">
        <x:v>test/features/crm; server/src/crm/**/*.spec.ts; docs/audits/v6-client-workspace.md</x:v>
      </x:c>
      <x:c r="N105" s="9" t="str">
        <x:v>CODE-BACKED</x:v>
      </x:c>
      <x:c r="O105" s="9" t="str">
        <x:v>PASS</x:v>
      </x:c>
      <x:c r="P105" s="9" t="str">
        <x:v>Post-fix acceptance passed for Client comments: 1 exact named test(s) matched and passed on build 1.2.3+156.</x:v>
      </x:c>
      <x:c r="Q105" s="9" t="str"/>
      <x:c r="R105" s="9" t="str">
        <x:v>P1</x:v>
      </x:c>
      <x:c r="S105" s="9" t="str">
        <x:v>2026-08-06</x:v>
      </x:c>
      <x:c r="T105" s="9" t="str">
        <x:v>evidence/server-test-json-final-156.json</x:v>
      </x:c>
      <x:c r="U105" s="9" t="str">
        <x:v>Server: server/src/crm/clients/client-card.integration.spec.ts :: ClientCardReadService (PostgreSQL) returns only assigned learning context and shared comments to Teacher</x:v>
      </x:c>
    </x:row>
    <x:row r="106">
      <x:c r="A106" s="9" t="str">
        <x:v>CRM-029</x:v>
      </x:c>
      <x:c r="B106" s="9" t="str">
        <x:v>CRM Clients</x:v>
      </x:c>
      <x:c r="C106" s="9" t="str">
        <x:v>Comment visibility</x:v>
      </x:c>
      <x:c r="D106" s="9" t="str">
        <x:v>staff пользователь</x:v>
      </x:c>
      <x:c r="E106" s="9" t="str">
        <x:v>Как staff пользователь, я хочу управлять доступом Teacher, чтобы рабочий сценарий был предсказуемым.</x:v>
      </x:c>
      <x:c r="F106" s="9" t="str">
        <x:v>Пользователь вошёл; Clients destination и нужный resource scope разрешены.</x:v>
      </x:c>
      <x:c r="G106" s="9" t="str">
        <x:v>Открыть Clients/Client workspace и выполнить действие.</x:v>
      </x:c>
      <x:c r="H106" s="9" t="str">
        <x:v>Shared flag меняется атомарно/versioned; private text не утекает через realtime/logs.</x:v>
      </x:c>
      <x:c r="I106" s="9" t="str">
        <x:v>crm.client.write</x:v>
      </x:c>
      <x:c r="J106" s="9" t="str">
        <x:v>Windows, Android</x:v>
      </x:c>
      <x:c r="K106" s="9" t="str">
        <x:v>lib/features/manager/presentation/widgets/leads_widget.dart; lib/features/crm/presentation/client_card</x:v>
      </x:c>
      <x:c r="L106" s="9" t="str">
        <x:v>lib/core/services/magic_crm_service*.dart; server/src/crm/crm-*controller.ts</x:v>
      </x:c>
      <x:c r="M106" s="9" t="str">
        <x:v>test/features/crm; server/src/crm/**/*.spec.ts; docs/audits/v6-client-workspace.md</x:v>
      </x:c>
      <x:c r="N106" s="9" t="str">
        <x:v>CODE-BACKED</x:v>
      </x:c>
      <x:c r="O106" s="9" t="str">
        <x:v>PASS</x:v>
      </x:c>
      <x:c r="P106" s="9" t="str">
        <x:v>Post-fix acceptance passed for Comment visibility: 1 exact named test(s) matched and passed on build 1.2.3+156.</x:v>
      </x:c>
      <x:c r="Q106" s="9" t="str"/>
      <x:c r="R106" s="9" t="str">
        <x:v>P0</x:v>
      </x:c>
      <x:c r="S106" s="9" t="str">
        <x:v>2026-08-06</x:v>
      </x:c>
      <x:c r="T106" s="9" t="str">
        <x:v>evidence/server-test-json-final-156.json</x:v>
      </x:c>
      <x:c r="U106" s="9" t="str">
        <x:v>Server: server/src/crm/clients/comment-sharing-postgres.integration.spec.ts :: Comment sharing (PostgreSQL) returns only explicitly shared comments to an assigned teacher</x:v>
      </x:c>
    </x:row>
    <x:row r="107">
      <x:c r="A107" s="9" t="str">
        <x:v>CRM-030</x:v>
      </x:c>
      <x:c r="B107" s="9" t="str">
        <x:v>CRM Clients</x:v>
      </x:c>
      <x:c r="C107" s="9" t="str">
        <x:v>Family</x:v>
      </x:c>
      <x:c r="D107" s="9" t="str">
        <x:v>staff пользователь</x:v>
      </x:c>
      <x:c r="E107" s="9" t="str">
        <x:v>Как staff пользователь, я хочу создать семью и участников, чтобы рабочий сценарий был предсказуемым.</x:v>
      </x:c>
      <x:c r="F107" s="9" t="str">
        <x:v>Пользователь вошёл; Clients destination и нужный resource scope разрешены.</x:v>
      </x:c>
      <x:c r="G107" s="9" t="str">
        <x:v>Открыть Clients/Client workspace и выполнить действие.</x:v>
      </x:c>
      <x:c r="H107" s="9" t="str">
        <x:v>Family links не дублируются, primary payer выбирается явно, removal не удаляет client entity.</x:v>
      </x:c>
      <x:c r="I107" s="9" t="str">
        <x:v>crm.client.write</x:v>
      </x:c>
      <x:c r="J107" s="9" t="str">
        <x:v>Windows, Android</x:v>
      </x:c>
      <x:c r="K107" s="9" t="str">
        <x:v>lib/features/manager/presentation/widgets/leads_widget.dart; lib/features/crm/presentation/client_card</x:v>
      </x:c>
      <x:c r="L107" s="9" t="str">
        <x:v>lib/core/services/magic_crm_service*.dart; server/src/crm/crm-*controller.ts</x:v>
      </x:c>
      <x:c r="M107" s="9" t="str">
        <x:v>test/features/crm; server/src/crm/**/*.spec.ts; docs/audits/v6-client-workspace.md</x:v>
      </x:c>
      <x:c r="N107" s="9" t="str">
        <x:v>CODE-BACKED</x:v>
      </x:c>
      <x:c r="O107" s="9" t="str">
        <x:v>PASS</x:v>
      </x:c>
      <x:c r="P107" s="9" t="str">
        <x:v>Post-fix acceptance passed for Family: 1 exact named test(s) matched and passed on build 1.2.3+156.</x:v>
      </x:c>
      <x:c r="Q107" s="9" t="str"/>
      <x:c r="R107" s="9" t="str">
        <x:v>P1</x:v>
      </x:c>
      <x:c r="S107" s="9" t="str">
        <x:v>2026-08-06</x:v>
      </x:c>
      <x:c r="T107" s="9" t="str">
        <x:v>evidence/server-test-json-final-156.json</x:v>
      </x:c>
      <x:c r="U107" s="9" t="str">
        <x:v>Server: server/src/crm/family.service.spec.ts :: FamilyService returns a family with members and resolved names for an entity</x:v>
      </x:c>
    </x:row>
    <x:row r="108">
      <x:c r="A108" s="9" t="str">
        <x:v>CRM-031</x:v>
      </x:c>
      <x:c r="B108" s="9" t="str">
        <x:v>CRM Clients</x:v>
      </x:c>
      <x:c r="C108" s="9" t="str">
        <x:v>Linked user</x:v>
      </x:c>
      <x:c r="D108" s="9" t="str">
        <x:v>staff пользователь</x:v>
      </x:c>
      <x:c r="E108" s="9" t="str">
        <x:v>Как staff пользователь, я хочу связать Client с account, чтобы рабочий сценарий был предсказуемым.</x:v>
      </x:c>
      <x:c r="F108" s="9" t="str">
        <x:v>Пользователь вошёл; Clients destination и нужный resource scope разрешены.</x:v>
      </x:c>
      <x:c r="G108" s="9" t="str">
        <x:v>Открыть Clients/Client workspace и выполнить действие.</x:v>
      </x:c>
      <x:c r="H108" s="9" t="str">
        <x:v>Candidates actor-safe; explicit link предотвращает двойную self-identity.</x:v>
      </x:c>
      <x:c r="I108" s="9" t="str">
        <x:v>crm.client.write</x:v>
      </x:c>
      <x:c r="J108" s="9" t="str">
        <x:v>Windows, Android</x:v>
      </x:c>
      <x:c r="K108" s="9" t="str">
        <x:v>lib/features/manager/presentation/widgets/leads_widget.dart; lib/features/crm/presentation/client_card</x:v>
      </x:c>
      <x:c r="L108" s="9" t="str">
        <x:v>lib/core/services/magic_crm_service*.dart; server/src/crm/crm-*controller.ts</x:v>
      </x:c>
      <x:c r="M108" s="9" t="str">
        <x:v>test/features/crm; server/src/crm/**/*.spec.ts; docs/audits/v6-client-workspace.md</x:v>
      </x:c>
      <x:c r="N108" s="9" t="str">
        <x:v>CODE-BACKED</x:v>
      </x:c>
      <x:c r="O108" s="9" t="str">
        <x:v>PASS</x:v>
      </x:c>
      <x:c r="P108" s="9" t="str">
        <x:v>Post-fix acceptance passed for Linked user: 1 exact named test(s) matched and passed on build 1.2.3+156.</x:v>
      </x:c>
      <x:c r="Q108" s="9" t="str"/>
      <x:c r="R108" s="9" t="str">
        <x:v>P1</x:v>
      </x:c>
      <x:c r="S108" s="9" t="str">
        <x:v>2026-08-06</x:v>
      </x:c>
      <x:c r="T108" s="9" t="str">
        <x:v>evidence/server-test-json-final-156.json</x:v>
      </x:c>
      <x:c r="U108" s="9" t="str">
        <x:v>Server: server/src/crm/client-linking.service.spec.ts :: ClientLinkingService linkUserToClient inserts a manual link, audits, and returns linked users</x:v>
      </x:c>
    </x:row>
    <x:row r="109">
      <x:c r="A109" s="9" t="str">
        <x:v>CRM-032</x:v>
      </x:c>
      <x:c r="B109" s="9" t="str">
        <x:v>CRM Clients</x:v>
      </x:c>
      <x:c r="C109" s="9" t="str">
        <x:v>Client groups</x:v>
      </x:c>
      <x:c r="D109" s="9" t="str">
        <x:v>staff/assigned teacher</x:v>
      </x:c>
      <x:c r="E109" s="9" t="str">
        <x:v>Как staff/assigned teacher, я хочу видеть группы Student, чтобы рабочий сценарий был предсказуемым.</x:v>
      </x:c>
      <x:c r="F109" s="9" t="str">
        <x:v>Пользователь вошёл; Clients destination и нужный resource scope разрешены.</x:v>
      </x:c>
      <x:c r="G109" s="9" t="str">
        <x:v>Открыть Clients/Client workspace и выполнить действие.</x:v>
      </x:c>
      <x:c r="H109" s="9" t="str">
        <x:v>Показываются только доступные группы; links ведут к human-labelled related entities.</x:v>
      </x:c>
      <x:c r="I109" s="9" t="str">
        <x:v>actor scope</x:v>
      </x:c>
      <x:c r="J109" s="9" t="str">
        <x:v>Windows, Android</x:v>
      </x:c>
      <x:c r="K109" s="9" t="str">
        <x:v>lib/features/manager/presentation/widgets/leads_widget.dart; lib/features/crm/presentation/client_card</x:v>
      </x:c>
      <x:c r="L109" s="9" t="str">
        <x:v>lib/core/services/magic_crm_service*.dart; server/src/crm/crm-*controller.ts</x:v>
      </x:c>
      <x:c r="M109" s="9" t="str">
        <x:v>test/features/crm; server/src/crm/**/*.spec.ts; docs/audits/v6-client-workspace.md</x:v>
      </x:c>
      <x:c r="N109" s="9" t="str">
        <x:v>CODE-BACKED</x:v>
      </x:c>
      <x:c r="O109" s="9" t="str">
        <x:v>PASS</x:v>
      </x:c>
      <x:c r="P109" s="9" t="str">
        <x:v>Post-fix acceptance passed for Client groups: 1 exact named test(s) matched and passed on build 1.2.3+156.</x:v>
      </x:c>
      <x:c r="Q109" s="9" t="str"/>
      <x:c r="R109" s="9" t="str">
        <x:v>P1</x:v>
      </x:c>
      <x:c r="S109" s="9" t="str">
        <x:v>2026-08-06</x:v>
      </x:c>
      <x:c r="T109" s="9" t="str">
        <x:v>evidence/flutter-test-machine-final-156.ndjson</x:v>
      </x:c>
      <x:c r="U109" s="9" t="str">
        <x:v>Flutter: test/core/services/magic_crm_service_test.dart :: MagicCrmService lists student groups through v3 API</x:v>
      </x:c>
    </x:row>
    <x:row r="110">
      <x:c r="A110" s="9" t="str">
        <x:v>CRM-033</x:v>
      </x:c>
      <x:c r="B110" s="9" t="str">
        <x:v>CRM Clients</x:v>
      </x:c>
      <x:c r="C110" s="9" t="str">
        <x:v>Homework create</x:v>
      </x:c>
      <x:c r="D110" s="9" t="str">
        <x:v>teacher/staff</x:v>
      </x:c>
      <x:c r="E110" s="9" t="str">
        <x:v>Как teacher/staff, я хочу назначить домашнее задание, чтобы рабочий сценарий был предсказуемым.</x:v>
      </x:c>
      <x:c r="F110" s="9" t="str">
        <x:v>Пользователь вошёл; Clients destination и нужный resource scope разрешены.</x:v>
      </x:c>
      <x:c r="G110" s="9" t="str">
        <x:v>Открыть Clients/Client workspace и выполнить действие.</x:v>
      </x:c>
      <x:c r="H110" s="9" t="str">
        <x:v>Title/body/due/files валидируются; Student получает одну запись.</x:v>
      </x:c>
      <x:c r="I110" s="9" t="str">
        <x:v>assigned teacher or staff</x:v>
      </x:c>
      <x:c r="J110" s="9" t="str">
        <x:v>Windows, Android</x:v>
      </x:c>
      <x:c r="K110" s="9" t="str">
        <x:v>lib/features/manager/presentation/widgets/leads_widget.dart; lib/features/crm/presentation/client_card</x:v>
      </x:c>
      <x:c r="L110" s="9" t="str">
        <x:v>lib/core/services/magic_crm_service*.dart; server/src/crm/crm-*controller.ts</x:v>
      </x:c>
      <x:c r="M110" s="9" t="str">
        <x:v>test/features/crm; server/src/crm/**/*.spec.ts; docs/audits/v6-client-workspace.md</x:v>
      </x:c>
      <x:c r="N110" s="9" t="str">
        <x:v>CODE-BACKED</x:v>
      </x:c>
      <x:c r="O110" s="9" t="str">
        <x:v>PASS</x:v>
      </x:c>
      <x:c r="P110" s="9" t="str">
        <x:v>Post-fix acceptance passed for Homework create: 1 exact named test(s) matched and passed on build 1.2.3+156.</x:v>
      </x:c>
      <x:c r="Q110" s="9" t="str"/>
      <x:c r="R110" s="9" t="str">
        <x:v>P1</x:v>
      </x:c>
      <x:c r="S110" s="9" t="str">
        <x:v>2026-08-06</x:v>
      </x:c>
      <x:c r="T110" s="9" t="str">
        <x:v>evidence/server-test-json-final-156.json</x:v>
      </x:c>
      <x:c r="U110" s="9" t="str">
        <x:v>Server: server/src/crm/homework.service.spec.ts :: HomeworkService creates a homework through operational-data policy and audit (P5c)</x:v>
      </x:c>
    </x:row>
    <x:row r="111">
      <x:c r="A111" s="9" t="str">
        <x:v>CRM-034</x:v>
      </x:c>
      <x:c r="B111" s="9" t="str">
        <x:v>CRM Clients</x:v>
      </x:c>
      <x:c r="C111" s="9" t="str">
        <x:v>Homework update</x:v>
      </x:c>
      <x:c r="D111" s="9" t="str">
        <x:v>разрешённый автор</x:v>
      </x:c>
      <x:c r="E111" s="9" t="str">
        <x:v>Как разрешённый автор, я хочу изменить домашнее задание, чтобы рабочий сценарий был предсказуемым.</x:v>
      </x:c>
      <x:c r="F111" s="9" t="str">
        <x:v>Пользователь вошёл; Clients destination и нужный resource scope разрешены.</x:v>
      </x:c>
      <x:c r="G111" s="9" t="str">
        <x:v>Открыть Clients/Client workspace и выполнить действие.</x:v>
      </x:c>
      <x:c r="H111" s="9" t="str">
        <x:v>Разрешённые fields обновляются, history/status не теряются.</x:v>
      </x:c>
      <x:c r="I111" s="9" t="str">
        <x:v>homework policy</x:v>
      </x:c>
      <x:c r="J111" s="9" t="str">
        <x:v>Windows, Android</x:v>
      </x:c>
      <x:c r="K111" s="9" t="str">
        <x:v>lib/features/manager/presentation/widgets/leads_widget.dart; lib/features/crm/presentation/client_card</x:v>
      </x:c>
      <x:c r="L111" s="9" t="str">
        <x:v>lib/core/services/magic_crm_service*.dart; server/src/crm/crm-*controller.ts</x:v>
      </x:c>
      <x:c r="M111" s="9" t="str">
        <x:v>test/features/crm; server/src/crm/**/*.spec.ts; docs/audits/v6-client-workspace.md</x:v>
      </x:c>
      <x:c r="N111" s="9" t="str">
        <x:v>CODE-BACKED</x:v>
      </x:c>
      <x:c r="O111" s="9" t="str">
        <x:v>PASS</x:v>
      </x:c>
      <x:c r="P111" s="9" t="str">
        <x:v>Post-fix acceptance passed for Homework update: 1 exact named test(s) matched and passed on build 1.2.3+156.</x:v>
      </x:c>
      <x:c r="Q111" s="9" t="str"/>
      <x:c r="R111" s="9" t="str">
        <x:v>P1</x:v>
      </x:c>
      <x:c r="S111" s="9" t="str">
        <x:v>2026-08-06</x:v>
      </x:c>
      <x:c r="T111" s="9" t="str">
        <x:v>evidence/server-test-json-final-156.json</x:v>
      </x:c>
      <x:c r="U111" s="9" t="str">
        <x:v>Server: server/src/crm/homework.service.spec.ts :: HomeworkService publishes an updated homework to its address-scoped audience</x:v>
      </x:c>
    </x:row>
    <x:row r="112">
      <x:c r="A112" s="9" t="str">
        <x:v>CRM-035</x:v>
      </x:c>
      <x:c r="B112" s="9" t="str">
        <x:v>CRM Clients</x:v>
      </x:c>
      <x:c r="C112" s="9" t="str">
        <x:v>Homework attachment</x:v>
      </x:c>
      <x:c r="D112" s="9" t="str">
        <x:v>teacher/student</x:v>
      </x:c>
      <x:c r="E112" s="9" t="str">
        <x:v>Как teacher/student, я хочу добавить файл к ДЗ, чтобы рабочий сценарий был предсказуемым.</x:v>
      </x:c>
      <x:c r="F112" s="9" t="str">
        <x:v>Пользователь вошёл; Clients destination и нужный resource scope разрешены.</x:v>
      </x:c>
      <x:c r="G112" s="9" t="str">
        <x:v>Открыть Clients/Client workspace и выполнить действие.</x:v>
      </x:c>
      <x:c r="H112" s="9" t="str">
        <x:v>Файл проходит upload/access boundary и виден только участникам задания.</x:v>
      </x:c>
      <x:c r="I112" s="9" t="str">
        <x:v>homework policy</x:v>
      </x:c>
      <x:c r="J112" s="9" t="str">
        <x:v>Windows, Android</x:v>
      </x:c>
      <x:c r="K112" s="9" t="str">
        <x:v>lib/features/manager/presentation/widgets/leads_widget.dart; lib/features/crm/presentation/client_card</x:v>
      </x:c>
      <x:c r="L112" s="9" t="str">
        <x:v>lib/core/services/magic_crm_service*.dart; server/src/crm/crm-*controller.ts</x:v>
      </x:c>
      <x:c r="M112" s="9" t="str">
        <x:v>test/features/crm; server/src/crm/**/*.spec.ts; docs/audits/v6-client-workspace.md</x:v>
      </x:c>
      <x:c r="N112" s="9" t="str">
        <x:v>CODE-BACKED</x:v>
      </x:c>
      <x:c r="O112" s="9" t="str">
        <x:v>PASS</x:v>
      </x:c>
      <x:c r="P112" s="9" t="str">
        <x:v>Post-fix acceptance passed for Homework attachment: 1 exact named test(s) matched and passed on build 1.2.3+156.</x:v>
      </x:c>
      <x:c r="Q112" s="9" t="str"/>
      <x:c r="R112" s="9" t="str">
        <x:v>P0</x:v>
      </x:c>
      <x:c r="S112" s="9" t="str">
        <x:v>2026-08-06</x:v>
      </x:c>
      <x:c r="T112" s="9" t="str">
        <x:v>evidence/server-test-json-final-156.json</x:v>
      </x:c>
      <x:c r="U112" s="9" t="str">
        <x:v>Server: server/src/files/file-validator.service.spec.ts :: FileValidator accepts a homework attachment at the 25MB limit (P5c)</x:v>
      </x:c>
    </x:row>
    <x:row r="113">
      <x:c r="A113" s="9" t="str">
        <x:v>CRM-036</x:v>
      </x:c>
      <x:c r="B113" s="9" t="str">
        <x:v>CRM Clients</x:v>
      </x:c>
      <x:c r="C113" s="9" t="str">
        <x:v>Homework submit</x:v>
      </x:c>
      <x:c r="D113" s="9" t="str">
        <x:v>student</x:v>
      </x:c>
      <x:c r="E113" s="9" t="str">
        <x:v>Как student, я хочу сдать домашнее задание, чтобы рабочий сценарий был предсказуемым.</x:v>
      </x:c>
      <x:c r="F113" s="9" t="str">
        <x:v>Пользователь вошёл; Clients destination и нужный resource scope разрешены.</x:v>
      </x:c>
      <x:c r="G113" s="9" t="str">
        <x:v>Открыть Clients/Client workspace и выполнить действие.</x:v>
      </x:c>
      <x:c r="H113" s="9" t="str">
        <x:v>Submission создаётся один раз с доступными attachments и отображается Teacher.</x:v>
      </x:c>
      <x:c r="I113" s="9" t="str">
        <x:v>student self</x:v>
      </x:c>
      <x:c r="J113" s="9" t="str">
        <x:v>Windows, Android</x:v>
      </x:c>
      <x:c r="K113" s="9" t="str">
        <x:v>lib/features/manager/presentation/widgets/leads_widget.dart; lib/features/crm/presentation/client_card</x:v>
      </x:c>
      <x:c r="L113" s="9" t="str">
        <x:v>lib/core/services/magic_crm_service*.dart; server/src/crm/crm-*controller.ts</x:v>
      </x:c>
      <x:c r="M113" s="9" t="str">
        <x:v>test/features/crm; server/src/crm/**/*.spec.ts; docs/audits/v6-client-workspace.md</x:v>
      </x:c>
      <x:c r="N113" s="9" t="str">
        <x:v>CODE-BACKED</x:v>
      </x:c>
      <x:c r="O113" s="9" t="str">
        <x:v>PASS</x:v>
      </x:c>
      <x:c r="P113" s="9" t="str">
        <x:v>Post-fix acceptance passed for Homework submit: 1 exact named test(s) matched and passed on build 1.2.3+156.</x:v>
      </x:c>
      <x:c r="Q113" s="9" t="str"/>
      <x:c r="R113" s="9" t="str">
        <x:v>P0</x:v>
      </x:c>
      <x:c r="S113" s="9" t="str">
        <x:v>2026-08-06</x:v>
      </x:c>
      <x:c r="T113" s="9" t="str">
        <x:v>evidence/server-test-json-final-156.json</x:v>
      </x:c>
      <x:c r="U113" s="9" t="str">
        <x:v>Server: server/src/crm/homework.service.spec.ts :: HomeworkService submits a homework as the owning client (P5c)</x:v>
      </x:c>
    </x:row>
    <x:row r="114">
      <x:c r="A114" s="9" t="str">
        <x:v>CRM-037</x:v>
      </x:c>
      <x:c r="B114" s="9" t="str">
        <x:v>CRM Clients</x:v>
      </x:c>
      <x:c r="C114" s="9" t="str">
        <x:v>Preferred schedule</x:v>
      </x:c>
      <x:c r="D114" s="9" t="str">
        <x:v>staff пользователь</x:v>
      </x:c>
      <x:c r="E114" s="9" t="str">
        <x:v>Как staff пользователь, я хочу сохранить предпочтительное расписание клиента, чтобы рабочий сценарий был предсказуемым.</x:v>
      </x:c>
      <x:c r="F114" s="9" t="str">
        <x:v>Пользователь вошёл; Clients destination и нужный resource scope разрешены.</x:v>
      </x:c>
      <x:c r="G114" s="9" t="str">
        <x:v>Открыть Clients/Client workspace и выполнить действие.</x:v>
      </x:c>
      <x:c r="H114" s="9" t="str">
        <x:v>Preference хранится отдельно от Lessons и используется как подсказка, не как факт занятия.</x:v>
      </x:c>
      <x:c r="I114" s="9" t="str">
        <x:v>crm.client.write</x:v>
      </x:c>
      <x:c r="J114" s="9" t="str">
        <x:v>Windows, Android</x:v>
      </x:c>
      <x:c r="K114" s="9" t="str">
        <x:v>lib/features/manager/presentation/widgets/leads_widget.dart; lib/features/crm/presentation/client_card</x:v>
      </x:c>
      <x:c r="L114" s="9" t="str">
        <x:v>lib/core/services/magic_crm_service*.dart; server/src/crm/crm-*controller.ts</x:v>
      </x:c>
      <x:c r="M114" s="9" t="str">
        <x:v>test/features/crm; server/src/crm/**/*.spec.ts; docs/audits/v6-client-workspace.md</x:v>
      </x:c>
      <x:c r="N114" s="9" t="str">
        <x:v>CODE-BACKED</x:v>
      </x:c>
      <x:c r="O114" s="9" t="str">
        <x:v>PASS</x:v>
      </x:c>
      <x:c r="P114" s="9" t="str">
        <x:v>Post-fix acceptance passed for Preferred schedule: 1 exact named test(s) matched and passed on build 1.2.3+156.</x:v>
      </x:c>
      <x:c r="Q114" s="9" t="str"/>
      <x:c r="R114" s="9" t="str">
        <x:v>P1</x:v>
      </x:c>
      <x:c r="S114" s="9" t="str">
        <x:v>2026-08-06</x:v>
      </x:c>
      <x:c r="T114" s="9" t="str">
        <x:v>evidence/flutter-test-machine-final-156.ndjson</x:v>
      </x:c>
      <x:c r="U114" s="9" t="str">
        <x:v>Flutter: test/core/services/magic_crm_service_test.dart :: MagicCrmService client preferred schedule uses typed clientRef and finite range</x:v>
      </x:c>
    </x:row>
    <x:row r="115">
      <x:c r="A115" s="9" t="str">
        <x:v>PORT-001</x:v>
      </x:c>
      <x:c r="B115" s="9" t="str">
        <x:v>Client Portal</x:v>
      </x:c>
      <x:c r="C115" s="9" t="str">
        <x:v>Upcoming lessons</x:v>
      </x:c>
      <x:c r="D115" s="9" t="str">
        <x:v>клиент</x:v>
      </x:c>
      <x:c r="E115" s="9" t="str">
        <x:v>Как клиент, я хочу видеть предстоящие занятия, чтобы рабочий сценарий был предсказуемым.</x:v>
      </x:c>
      <x:c r="F115" s="9" t="str">
        <x:v>Client вошёл под self account.</x:v>
      </x:c>
      <x:c r="G115" s="9" t="str">
        <x:v>Открыть нижнюю навигацию Client и соответствующий segment.</x:v>
      </x:c>
      <x:c r="H115" s="9" t="str">
        <x:v>Self-scoped lessons показывают дату/время, Teacher, Branch, Room, duration and current lifecycle; чужие lessons отсутствуют.</x:v>
      </x:c>
      <x:c r="I115" s="9" t="str">
        <x:v>client self</x:v>
      </x:c>
      <x:c r="J115" s="9" t="str">
        <x:v>Windows, Android</x:v>
      </x:c>
      <x:c r="K115" s="9" t="str">
        <x:v>lib/features/client/presentation; lib/features/messenger/presentation/screens/messenger_screen.dart</x:v>
      </x:c>
      <x:c r="L115" s="9" t="str">
        <x:v>lib/core/services/magic_crm_service*.dart; server/src/crm/crm-students.controller.ts; server/src/crm/commerce; server/src/crm/crm-engagement.controller.ts</x:v>
      </x:c>
      <x:c r="M115" s="9" t="str">
        <x:v>test/features/client; docs/audits/v6-role-workspace-acceptance.md</x:v>
      </x:c>
      <x:c r="N115" s="9" t="str">
        <x:v>CODE-BACKED</x:v>
      </x:c>
      <x:c r="O115" s="9" t="str">
        <x:v>PASS</x:v>
      </x:c>
      <x:c r="P115" s="9" t="str">
        <x:v>Post-fix acceptance passed for Upcoming lessons: 1 exact named test(s) matched and passed on build 1.2.3+156.</x:v>
      </x:c>
      <x:c r="Q115" s="9" t="str"/>
      <x:c r="R115" s="9" t="str">
        <x:v>P0</x:v>
      </x:c>
      <x:c r="S115" s="9" t="str">
        <x:v>2026-08-06</x:v>
      </x:c>
      <x:c r="T115" s="9" t="str">
        <x:v>evidence/flutter-test-machine-final-156.ndjson</x:v>
      </x:c>
      <x:c r="U115" s="9" t="str">
        <x:v>Flutter: test/features/client/upcoming_lessons_trial_test.dart :: клиент видит явную метку пробного урока</x:v>
      </x:c>
    </x:row>
    <x:row r="116">
      <x:c r="A116" s="9" t="str">
        <x:v>PORT-002</x:v>
      </x:c>
      <x:c r="B116" s="9" t="str">
        <x:v>Client Portal</x:v>
      </x:c>
      <x:c r="C116" s="9" t="str">
        <x:v>Lesson history</x:v>
      </x:c>
      <x:c r="D116" s="9" t="str">
        <x:v>клиент</x:v>
      </x:c>
      <x:c r="E116" s="9" t="str">
        <x:v>Как клиент, я хочу видеть историю занятий, чтобы рабочий сценарий был предсказуемым.</x:v>
      </x:c>
      <x:c r="F116" s="9" t="str">
        <x:v>Client вошёл под self account.</x:v>
      </x:c>
      <x:c r="G116" s="9" t="str">
        <x:v>Открыть нижнюю навигацию Client и соответствующий segment.</x:v>
      </x:c>
      <x:c r="H116" s="9" t="str">
        <x:v>Past/terminal lessons отделены от upcoming and retain human labels/status without editable staff actions.</x:v>
      </x:c>
      <x:c r="I116" s="9" t="str">
        <x:v>client self</x:v>
      </x:c>
      <x:c r="J116" s="9" t="str">
        <x:v>Windows, Android</x:v>
      </x:c>
      <x:c r="K116" s="9" t="str">
        <x:v>lib/features/client/presentation; lib/features/messenger/presentation/screens/messenger_screen.dart</x:v>
      </x:c>
      <x:c r="L116" s="9" t="str">
        <x:v>lib/core/services/magic_crm_service*.dart; server/src/crm/crm-students.controller.ts; server/src/crm/commerce; server/src/crm/crm-engagement.controller.ts</x:v>
      </x:c>
      <x:c r="M116" s="9" t="str">
        <x:v>test/features/client; docs/audits/v6-role-workspace-acceptance.md</x:v>
      </x:c>
      <x:c r="N116" s="9" t="str">
        <x:v>CODE-BACKED</x:v>
      </x:c>
      <x:c r="O116" s="9" t="str">
        <x:v>PASS</x:v>
      </x:c>
      <x:c r="P116" s="9" t="str">
        <x:v>Post-fix acceptance passed for Lesson history: 1 exact named test(s) matched and passed on build 1.2.3+156.</x:v>
      </x:c>
      <x:c r="Q116" s="9" t="str"/>
      <x:c r="R116" s="9" t="str">
        <x:v>P0</x:v>
      </x:c>
      <x:c r="S116" s="9" t="str">
        <x:v>2026-08-06</x:v>
      </x:c>
      <x:c r="T116" s="9" t="str">
        <x:v>evidence/server-test-json-final-156.json</x:v>
      </x:c>
      <x:c r="U116" s="9" t="str">
        <x:v>Server: server/src/crm/schedule.service.spec.ts :: ScheduleService schedule conflicts (контракты 1-2, правки №2) orders the client history desc when asked (recent lessons first)</x:v>
      </x:c>
    </x:row>
    <x:row r="117">
      <x:c r="A117" s="9" t="str">
        <x:v>PORT-003</x:v>
      </x:c>
      <x:c r="B117" s="9" t="str">
        <x:v>Client Portal</x:v>
      </x:c>
      <x:c r="C117" s="9" t="str">
        <x:v>Homework list</x:v>
      </x:c>
      <x:c r="D117" s="9" t="str">
        <x:v>клиент</x:v>
      </x:c>
      <x:c r="E117" s="9" t="str">
        <x:v>Как клиент, я хочу видеть свои задания, чтобы рабочий сценарий был предсказуемым.</x:v>
      </x:c>
      <x:c r="F117" s="9" t="str">
        <x:v>Client вошёл под self account.</x:v>
      </x:c>
      <x:c r="G117" s="9" t="str">
        <x:v>Открыть нижнюю навигацию Client и соответствующий segment.</x:v>
      </x:c>
      <x:c r="H117" s="9" t="str">
        <x:v>Assignments show status, description and due date; attachments/submission actions follow homework policy.</x:v>
      </x:c>
      <x:c r="I117" s="9" t="str">
        <x:v>client self</x:v>
      </x:c>
      <x:c r="J117" s="9" t="str">
        <x:v>Windows, Android</x:v>
      </x:c>
      <x:c r="K117" s="9" t="str">
        <x:v>lib/features/client/presentation; lib/features/messenger/presentation/screens/messenger_screen.dart</x:v>
      </x:c>
      <x:c r="L117" s="9" t="str">
        <x:v>lib/core/services/magic_crm_service*.dart; server/src/crm/crm-students.controller.ts; server/src/crm/commerce; server/src/crm/crm-engagement.controller.ts</x:v>
      </x:c>
      <x:c r="M117" s="9" t="str">
        <x:v>test/features/client; docs/audits/v6-role-workspace-acceptance.md</x:v>
      </x:c>
      <x:c r="N117" s="9" t="str">
        <x:v>CODE-BACKED</x:v>
      </x:c>
      <x:c r="O117" s="9" t="str">
        <x:v>PASS</x:v>
      </x:c>
      <x:c r="P117" s="9" t="str">
        <x:v>Post-fix acceptance passed for Homework list: 1 exact named test(s) matched and passed on build 1.2.3+156.</x:v>
      </x:c>
      <x:c r="Q117" s="9" t="str"/>
      <x:c r="R117" s="9" t="str">
        <x:v>P0</x:v>
      </x:c>
      <x:c r="S117" s="9" t="str">
        <x:v>2026-08-06</x:v>
      </x:c>
      <x:c r="T117" s="9" t="str">
        <x:v>evidence/server-test-json-final-156.json</x:v>
      </x:c>
      <x:c r="U117" s="9" t="str">
        <x:v>Server: server/src/crm/homework.service.spec.ts :: HomeworkService forbids submitting a homework owned by another client (P5c)</x:v>
      </x:c>
    </x:row>
    <x:row r="118">
      <x:c r="A118" s="9" t="str">
        <x:v>PORT-004</x:v>
      </x:c>
      <x:c r="B118" s="9" t="str">
        <x:v>Client Portal</x:v>
      </x:c>
      <x:c r="C118" s="9" t="str">
        <x:v>Subscription summary</x:v>
      </x:c>
      <x:c r="D118" s="9" t="str">
        <x:v>клиент</x:v>
      </x:c>
      <x:c r="E118" s="9" t="str">
        <x:v>Как клиент, я хочу видеть активный абонемент или честное empty state, чтобы рабочий сценарий был предсказуемым.</x:v>
      </x:c>
      <x:c r="F118" s="9" t="str">
        <x:v>Client вошёл под self account.</x:v>
      </x:c>
      <x:c r="G118" s="9" t="str">
        <x:v>Открыть нижнюю навигацию Client и соответствующий segment.</x:v>
      </x:c>
      <x:c r="H118" s="9" t="str">
        <x:v>Active snapshot/remaining units are shown when present; otherwise a clear contact-admin message appears.</x:v>
      </x:c>
      <x:c r="I118" s="9" t="str">
        <x:v>client self finance</x:v>
      </x:c>
      <x:c r="J118" s="9" t="str">
        <x:v>Windows, Android</x:v>
      </x:c>
      <x:c r="K118" s="9" t="str">
        <x:v>lib/features/client/presentation; lib/features/messenger/presentation/screens/messenger_screen.dart</x:v>
      </x:c>
      <x:c r="L118" s="9" t="str">
        <x:v>lib/core/services/magic_crm_service*.dart; server/src/crm/crm-students.controller.ts; server/src/crm/commerce; server/src/crm/crm-engagement.controller.ts</x:v>
      </x:c>
      <x:c r="M118" s="9" t="str">
        <x:v>test/features/client; docs/audits/v6-role-workspace-acceptance.md</x:v>
      </x:c>
      <x:c r="N118" s="9" t="str">
        <x:v>CODE-BACKED</x:v>
      </x:c>
      <x:c r="O118" s="9" t="str">
        <x:v>PASS</x:v>
      </x:c>
      <x:c r="P118" s="9" t="str">
        <x:v>Post-fix acceptance passed for Subscription summary: 1 exact named test(s) matched and passed on build 1.2.3+156.</x:v>
      </x:c>
      <x:c r="Q118" s="9" t="str"/>
      <x:c r="R118" s="9" t="str">
        <x:v>P0</x:v>
      </x:c>
      <x:c r="S118" s="9" t="str">
        <x:v>2026-08-06</x:v>
      </x:c>
      <x:c r="T118" s="9" t="str">
        <x:v>evidence/flutter-test-machine-final-156.ndjson</x:v>
      </x:c>
      <x:c r="U118" s="9" t="str">
        <x:v>Flutter: test/features/client/subscription_status_card_test.dart :: renders active subscription without expiration date</x:v>
      </x:c>
    </x:row>
    <x:row r="119">
      <x:c r="A119" s="9" t="str">
        <x:v>PORT-005</x:v>
      </x:c>
      <x:c r="B119" s="9" t="str">
        <x:v>Client Portal</x:v>
      </x:c>
      <x:c r="C119" s="9" t="str">
        <x:v>Payment history</x:v>
      </x:c>
      <x:c r="D119" s="9" t="str">
        <x:v>клиент</x:v>
      </x:c>
      <x:c r="E119" s="9" t="str">
        <x:v>Как клиент, я хочу видеть свои оплаты, чтобы рабочий сценарий был предсказуемым.</x:v>
      </x:c>
      <x:c r="F119" s="9" t="str">
        <x:v>Client вошёл под self account.</x:v>
      </x:c>
      <x:c r="G119" s="9" t="str">
        <x:v>Открыть нижнюю навигацию Client и соответствующий segment.</x:v>
      </x:c>
      <x:c r="H119" s="9" t="str">
        <x:v>Self payment list shows immutable amount/date/purpose and no staff mutation controls.</x:v>
      </x:c>
      <x:c r="I119" s="9" t="str">
        <x:v>client self finance</x:v>
      </x:c>
      <x:c r="J119" s="9" t="str">
        <x:v>Windows, Android</x:v>
      </x:c>
      <x:c r="K119" s="9" t="str">
        <x:v>lib/features/client/presentation; lib/features/messenger/presentation/screens/messenger_screen.dart</x:v>
      </x:c>
      <x:c r="L119" s="9" t="str">
        <x:v>lib/core/services/magic_crm_service*.dart; server/src/crm/crm-students.controller.ts; server/src/crm/commerce; server/src/crm/crm-engagement.controller.ts</x:v>
      </x:c>
      <x:c r="M119" s="9" t="str">
        <x:v>test/features/client; docs/audits/v6-role-workspace-acceptance.md</x:v>
      </x:c>
      <x:c r="N119" s="9" t="str">
        <x:v>CODE-BACKED</x:v>
      </x:c>
      <x:c r="O119" s="9" t="str">
        <x:v>PASS</x:v>
      </x:c>
      <x:c r="P119" s="9" t="str">
        <x:v>Post-fix acceptance passed for Payment history: 1 exact named test(s) matched and passed on build 1.2.3+156.</x:v>
      </x:c>
      <x:c r="Q119" s="9" t="str"/>
      <x:c r="R119" s="9" t="str">
        <x:v>P0</x:v>
      </x:c>
      <x:c r="S119" s="9" t="str">
        <x:v>2026-08-06</x:v>
      </x:c>
      <x:c r="T119" s="9" t="str">
        <x:v>evidence/server-test-json-final-156.json</x:v>
      </x:c>
      <x:c r="U119" s="9" t="str">
        <x:v>Server: server/src/crm/commerce/commerce-projections.contract.spec.ts :: v4 commerce projections contract returns the separate client self envelope without embedded internals</x:v>
      </x:c>
    </x:row>
    <x:row r="120">
      <x:c r="A120" s="9" t="str">
        <x:v>PORT-006</x:v>
      </x:c>
      <x:c r="B120" s="9" t="str">
        <x:v>Client Portal</x:v>
      </x:c>
      <x:c r="C120" s="9" t="str">
        <x:v>Self profile</x:v>
      </x:c>
      <x:c r="D120" s="9" t="str">
        <x:v>клиент</x:v>
      </x:c>
      <x:c r="E120" s="9" t="str">
        <x:v>Как клиент, я хочу видеть и безопасно редактировать профиль, чтобы рабочий сценарий был предсказуемым.</x:v>
      </x:c>
      <x:c r="F120" s="9" t="str">
        <x:v>Client вошёл под self account.</x:v>
      </x:c>
      <x:c r="G120" s="9" t="str">
        <x:v>Открыть нижнюю навигацию Client и соответствующий segment.</x:v>
      </x:c>
      <x:c r="H120" s="9" t="str">
        <x:v>Profile loads current name/photo/phone/birth date/auth methods; role is read-only and valid changes persist.</x:v>
      </x:c>
      <x:c r="I120" s="9" t="str">
        <x:v>client self</x:v>
      </x:c>
      <x:c r="J120" s="9" t="str">
        <x:v>Windows, Android</x:v>
      </x:c>
      <x:c r="K120" s="9" t="str">
        <x:v>lib/features/client/presentation; lib/features/messenger/presentation/screens/messenger_screen.dart</x:v>
      </x:c>
      <x:c r="L120" s="9" t="str">
        <x:v>lib/core/services/magic_crm_service*.dart; server/src/crm/crm-students.controller.ts; server/src/crm/commerce; server/src/crm/crm-engagement.controller.ts</x:v>
      </x:c>
      <x:c r="M120" s="9" t="str">
        <x:v>test/features/client; docs/audits/v6-role-workspace-acceptance.md</x:v>
      </x:c>
      <x:c r="N120" s="9" t="str">
        <x:v>CODE-BACKED</x:v>
      </x:c>
      <x:c r="O120" s="9" t="str">
        <x:v>PASS</x:v>
      </x:c>
      <x:c r="P120" s="9" t="str">
        <x:v>Post-fix acceptance passed for Self profile: 1 exact named test(s) matched and passed on build 1.2.3+156.</x:v>
      </x:c>
      <x:c r="Q120" s="9" t="str"/>
      <x:c r="R120" s="9" t="str">
        <x:v>P1</x:v>
      </x:c>
      <x:c r="S120" s="9" t="str">
        <x:v>2026-08-06</x:v>
      </x:c>
      <x:c r="T120" s="9" t="str">
        <x:v>evidence/server-test-json-final-156.json</x:v>
      </x:c>
      <x:c r="U120" s="9" t="str">
        <x:v>Server: server/src/access-control/teacher-projection.contract.spec.ts :: ActorClientProjectionFactory six-role scopes maps client to the isolated client_self contract</x:v>
      </x:c>
    </x:row>
    <x:row r="121">
      <x:c r="A121" s="9" t="str">
        <x:v>PORT-007</x:v>
      </x:c>
      <x:c r="B121" s="9" t="str">
        <x:v>Client Portal</x:v>
      </x:c>
      <x:c r="C121" s="9" t="str">
        <x:v>My school overview</x:v>
      </x:c>
      <x:c r="D121" s="9" t="str">
        <x:v>клиент</x:v>
      </x:c>
      <x:c r="E121" s="9" t="str">
        <x:v>Как клиент, я хочу быстро открыть сводку школы, чтобы рабочий сценарий был предсказуемым.</x:v>
      </x:c>
      <x:c r="F121" s="9" t="str">
        <x:v>Client вошёл под self account.</x:v>
      </x:c>
      <x:c r="G121" s="9" t="str">
        <x:v>Открыть нижнюю навигацию Client и соответствующий segment.</x:v>
      </x:c>
      <x:c r="H121" s="9" t="str">
        <x:v>My School opens a composed self portal with child switcher when needed, subscription status, upcoming/history/homework segments and explicit refresh.</x:v>
      </x:c>
      <x:c r="I121" s="9" t="str">
        <x:v>client self</x:v>
      </x:c>
      <x:c r="J121" s="9" t="str">
        <x:v>Windows, Android</x:v>
      </x:c>
      <x:c r="K121" s="9" t="str">
        <x:v>lib/features/client/presentation; lib/features/messenger/presentation/screens/messenger_screen.dart</x:v>
      </x:c>
      <x:c r="L121" s="9" t="str">
        <x:v>lib/core/services/magic_crm_service*.dart; server/src/crm/crm-students.controller.ts; server/src/crm/commerce; server/src/crm/crm-engagement.controller.ts</x:v>
      </x:c>
      <x:c r="M121" s="9" t="str">
        <x:v>test/features/client; docs/audits/v6-role-workspace-acceptance.md</x:v>
      </x:c>
      <x:c r="N121" s="9" t="str">
        <x:v>CODE-BACKED</x:v>
      </x:c>
      <x:c r="O121" s="9" t="str">
        <x:v>PASS</x:v>
      </x:c>
      <x:c r="P121" s="9" t="str">
        <x:v>Post-fix acceptance passed for My school overview: 1 exact named test(s) matched and passed on build 1.2.3+156.</x:v>
      </x:c>
      <x:c r="Q121" s="9" t="str"/>
      <x:c r="R121" s="9" t="str">
        <x:v>P1</x:v>
      </x:c>
      <x:c r="S121" s="9" t="str">
        <x:v>2026-08-06</x:v>
      </x:c>
      <x:c r="T121" s="9" t="str">
        <x:v>evidence/server-test-json-final-156.json</x:v>
      </x:c>
      <x:c r="U121" s="9" t="str">
        <x:v>Server: server/src/access-control/teacher-projection.contract.spec.ts :: ActorClientProjectionFactory six-role scopes allows Client self scope and hides unrelated Client resources</x:v>
      </x:c>
    </x:row>
    <x:row r="122">
      <x:c r="A122" s="9" t="str">
        <x:v>SCH-001</x:v>
      </x:c>
      <x:c r="B122" s="9" t="str">
        <x:v>Schedule</x:v>
      </x:c>
      <x:c r="C122" s="9" t="str">
        <x:v>Month view</x:v>
      </x:c>
      <x:c r="D122" s="9" t="str">
        <x:v>schedule reader</x:v>
      </x:c>
      <x:c r="E122" s="9" t="str">
        <x:v>Как schedule reader, я хочу просмотреть месяц, чтобы рабочий сценарий был предсказуемым.</x:v>
      </x:c>
      <x:c r="F122" s="9" t="str">
        <x:v>Пользователь вошёл; Schedule разрешён; branch/timezone data загружены.</x:v>
      </x:c>
      <x:c r="G122" s="9" t="str">
        <x:v>Открыть Schedule, выбрать view/filter или выполнить lesson action.</x:v>
      </x:c>
      <x:c r="H122" s="9" t="str">
        <x:v>Показываются дни в выбранном branch/timezone с lesson indicators и корректным переходом к дню.</x:v>
      </x:c>
      <x:c r="I122" s="9" t="str">
        <x:v>schedule.lesson.read</x:v>
      </x:c>
      <x:c r="J122" s="9" t="str">
        <x:v>Windows, Android</x:v>
      </x:c>
      <x:c r="K122" s="9" t="str">
        <x:v>lib/features/admin/presentation/widgets/schedule_widget.dart; create_lesson_dialog.dart; lib/features/crm/presentation/client_card</x:v>
      </x:c>
      <x:c r="L122" s="9" t="str">
        <x:v>lib/core/services/magic_crm_service_schedule.dart; server/src/crm/crm-schedule.controller.ts; server/src/crm/schedule</x:v>
      </x:c>
      <x:c r="M122" s="9" t="str">
        <x:v>test/features/admin/*schedule*; server/src/crm/schedule/*.spec.ts; docs/audits/v6-client-workspace.md</x:v>
      </x:c>
      <x:c r="N122" s="9" t="str">
        <x:v>CODE-BACKED</x:v>
      </x:c>
      <x:c r="O122" s="9" t="str">
        <x:v>PASS</x:v>
      </x:c>
      <x:c r="P122" s="9" t="str">
        <x:v>Post-fix acceptance passed for Month view: 1 exact named test(s) matched and passed on build 1.2.3+156.</x:v>
      </x:c>
      <x:c r="Q122" s="9" t="str"/>
      <x:c r="R122" s="9" t="str">
        <x:v>P0</x:v>
      </x:c>
      <x:c r="S122" s="9" t="str">
        <x:v>2026-08-06</x:v>
      </x:c>
      <x:c r="T122" s="9" t="str">
        <x:v>evidence/flutter-test-machine-final-156.ndjson</x:v>
      </x:c>
      <x:c r="U122" s="9" t="str">
        <x:v>Flutter: test/features/v6/client_schedule_calendar_test.dart :: schedule search keeps the view and marks Day Week Month</x:v>
      </x:c>
    </x:row>
    <x:row r="123">
      <x:c r="A123" s="9" t="str">
        <x:v>SCH-002</x:v>
      </x:c>
      <x:c r="B123" s="9" t="str">
        <x:v>Schedule</x:v>
      </x:c>
      <x:c r="C123" s="9" t="str">
        <x:v>Week view</x:v>
      </x:c>
      <x:c r="D123" s="9" t="str">
        <x:v>schedule reader</x:v>
      </x:c>
      <x:c r="E123" s="9" t="str">
        <x:v>Как schedule reader, я хочу просмотреть неделю, чтобы рабочий сценарий был предсказуемым.</x:v>
      </x:c>
      <x:c r="F123" s="9" t="str">
        <x:v>Пользователь вошёл; Schedule разрешён; branch/timezone data загружены.</x:v>
      </x:c>
      <x:c r="G123" s="9" t="str">
        <x:v>Открыть Schedule, выбрать view/filter или выполнить lesson action.</x:v>
      </x:c>
      <x:c r="H123" s="9" t="str">
        <x:v>Липкие headers/time column остаются понятными при scroll; lessons размещены по фактическим интервалам.</x:v>
      </x:c>
      <x:c r="I123" s="9" t="str">
        <x:v>schedule.lesson.read</x:v>
      </x:c>
      <x:c r="J123" s="9" t="str">
        <x:v>Windows, Android</x:v>
      </x:c>
      <x:c r="K123" s="9" t="str">
        <x:v>lib/features/admin/presentation/widgets/schedule_widget.dart; create_lesson_dialog.dart; lib/features/crm/presentation/client_card</x:v>
      </x:c>
      <x:c r="L123" s="9" t="str">
        <x:v>lib/core/services/magic_crm_service_schedule.dart; server/src/crm/crm-schedule.controller.ts; server/src/crm/schedule</x:v>
      </x:c>
      <x:c r="M123" s="9" t="str">
        <x:v>test/features/admin/*schedule*; server/src/crm/schedule/*.spec.ts; docs/audits/v6-client-workspace.md</x:v>
      </x:c>
      <x:c r="N123" s="9" t="str">
        <x:v>CODE-BACKED</x:v>
      </x:c>
      <x:c r="O123" s="9" t="str">
        <x:v>RETEST PASS</x:v>
      </x:c>
      <x:c r="P123" s="9" t="str">
        <x:v>Week view allocates simultaneous lessons into non-overlapping side-by-side lanes; three 12:00 cards remained independently readable and focusable.</x:v>
      </x:c>
      <x:c r="Q123" s="9" t="str">
        <x:v>ERR-002</x:v>
      </x:c>
      <x:c r="R123" s="9" t="str">
        <x:v>P0</x:v>
      </x:c>
      <x:c r="S123" s="9" t="str">
        <x:v>2026-08-06</x:v>
      </x:c>
      <x:c r="T123" s="9" t="str">
        <x:v>evidence/postfix-schedule-week-overlap.png; evidence/postfix-schedule-week-overlap.txt</x:v>
      </x:c>
      <x:c r="U123" s="9" t="str">
        <x:v>Widget test covers interval overlap allocation and drag feedback width.</x:v>
      </x:c>
    </x:row>
    <x:row r="124">
      <x:c r="A124" s="9" t="str">
        <x:v>SCH-003</x:v>
      </x:c>
      <x:c r="B124" s="9" t="str">
        <x:v>Schedule</x:v>
      </x:c>
      <x:c r="C124" s="9" t="str">
        <x:v>Day view</x:v>
      </x:c>
      <x:c r="D124" s="9" t="str">
        <x:v>schedule reader</x:v>
      </x:c>
      <x:c r="E124" s="9" t="str">
        <x:v>Как schedule reader, я хочу просмотреть день, чтобы рабочий сценарий был предсказуемым.</x:v>
      </x:c>
      <x:c r="F124" s="9" t="str">
        <x:v>Пользователь вошёл; Schedule разрешён; branch/timezone data загружены.</x:v>
      </x:c>
      <x:c r="G124" s="9" t="str">
        <x:v>Открыть Schedule, выбрать view/filter или выполнить lesson action.</x:v>
      </x:c>
      <x:c r="H124" s="9" t="str">
        <x:v>Все доступные lessons дня показываются с human labels и без горизонтального скрытия action context.</x:v>
      </x:c>
      <x:c r="I124" s="9" t="str">
        <x:v>schedule.lesson.read</x:v>
      </x:c>
      <x:c r="J124" s="9" t="str">
        <x:v>Windows, Android</x:v>
      </x:c>
      <x:c r="K124" s="9" t="str">
        <x:v>lib/features/admin/presentation/widgets/schedule_widget.dart; create_lesson_dialog.dart; lib/features/crm/presentation/client_card</x:v>
      </x:c>
      <x:c r="L124" s="9" t="str">
        <x:v>lib/core/services/magic_crm_service_schedule.dart; server/src/crm/crm-schedule.controller.ts; server/src/crm/schedule</x:v>
      </x:c>
      <x:c r="M124" s="9" t="str">
        <x:v>test/features/admin/*schedule*; server/src/crm/schedule/*.spec.ts; docs/audits/v6-client-workspace.md</x:v>
      </x:c>
      <x:c r="N124" s="9" t="str">
        <x:v>CODE-BACKED</x:v>
      </x:c>
      <x:c r="O124" s="9" t="str">
        <x:v>PASS</x:v>
      </x:c>
      <x:c r="P124" s="9" t="str">
        <x:v>Post-fix acceptance passed for Day view: 1 exact named test(s) matched and passed on build 1.2.3+156.</x:v>
      </x:c>
      <x:c r="Q124" s="9" t="str"/>
      <x:c r="R124" s="9" t="str">
        <x:v>P0</x:v>
      </x:c>
      <x:c r="S124" s="9" t="str">
        <x:v>2026-08-06</x:v>
      </x:c>
      <x:c r="T124" s="9" t="str">
        <x:v>evidence/flutter-test-machine-final-156.ndjson</x:v>
      </x:c>
      <x:c r="U124" s="9" t="str">
        <x:v>Flutter: test/features/admin/schedule_day_canvas_gestures_test.dart :: overlapping lessons share the column side by side</x:v>
      </x:c>
    </x:row>
    <x:row r="125">
      <x:c r="A125" s="9" t="str">
        <x:v>SCH-004</x:v>
      </x:c>
      <x:c r="B125" s="9" t="str">
        <x:v>Schedule</x:v>
      </x:c>
      <x:c r="C125" s="9" t="str">
        <x:v>Date navigation</x:v>
      </x:c>
      <x:c r="D125" s="9" t="str">
        <x:v>schedule reader</x:v>
      </x:c>
      <x:c r="E125" s="9" t="str">
        <x:v>Как schedule reader, я хочу перейти к другой дате/сегодня, чтобы рабочий сценарий был предсказуемым.</x:v>
      </x:c>
      <x:c r="F125" s="9" t="str">
        <x:v>Пользователь вошёл; Schedule разрешён; branch/timezone data загружены.</x:v>
      </x:c>
      <x:c r="G125" s="9" t="str">
        <x:v>Открыть Schedule, выбрать view/filter или выполнить lesson action.</x:v>
      </x:c>
      <x:c r="H125" s="9" t="str">
        <x:v>Period меняется детерминированно, выбранные branch/view/search state сохраняются где применимо.</x:v>
      </x:c>
      <x:c r="I125" s="9" t="str">
        <x:v>schedule.lesson.read</x:v>
      </x:c>
      <x:c r="J125" s="9" t="str">
        <x:v>Windows, Android</x:v>
      </x:c>
      <x:c r="K125" s="9" t="str">
        <x:v>lib/features/admin/presentation/widgets/schedule_widget.dart; create_lesson_dialog.dart; lib/features/crm/presentation/client_card</x:v>
      </x:c>
      <x:c r="L125" s="9" t="str">
        <x:v>lib/core/services/magic_crm_service_schedule.dart; server/src/crm/crm-schedule.controller.ts; server/src/crm/schedule</x:v>
      </x:c>
      <x:c r="M125" s="9" t="str">
        <x:v>test/features/admin/*schedule*; server/src/crm/schedule/*.spec.ts; docs/audits/v6-client-workspace.md</x:v>
      </x:c>
      <x:c r="N125" s="9" t="str">
        <x:v>CODE-BACKED</x:v>
      </x:c>
      <x:c r="O125" s="9" t="str">
        <x:v>PASS</x:v>
      </x:c>
      <x:c r="P125" s="9" t="str">
        <x:v>Post-fix acceptance passed for Date navigation: 1 exact named test(s) matched and passed on build 1.2.3+156.</x:v>
      </x:c>
      <x:c r="Q125" s="9" t="str"/>
      <x:c r="R125" s="9" t="str">
        <x:v>P1</x:v>
      </x:c>
      <x:c r="S125" s="9" t="str">
        <x:v>2026-08-06</x:v>
      </x:c>
      <x:c r="T125" s="9" t="str">
        <x:v>evidence/flutter-test-machine-final-156.ndjson</x:v>
      </x:c>
      <x:c r="U125" s="9" t="str">
        <x:v>Flutter: test/features/admin/schedule_navigation_provider_test.dart :: lead card request carries date and lead preset into Schedule</x:v>
      </x:c>
    </x:row>
    <x:row r="126">
      <x:c r="A126" s="9" t="str">
        <x:v>SCH-005</x:v>
      </x:c>
      <x:c r="B126" s="9" t="str">
        <x:v>Schedule</x:v>
      </x:c>
      <x:c r="C126" s="9" t="str">
        <x:v>Branch filter</x:v>
      </x:c>
      <x:c r="D126" s="9" t="str">
        <x:v>schedule reader</x:v>
      </x:c>
      <x:c r="E126" s="9" t="str">
        <x:v>Как schedule reader, я хочу выбрать филиал, чтобы рабочий сценарий был предсказуемым.</x:v>
      </x:c>
      <x:c r="F126" s="9" t="str">
        <x:v>Пользователь вошёл; Schedule разрешён; branch/timezone data загружены.</x:v>
      </x:c>
      <x:c r="G126" s="9" t="str">
        <x:v>Открыть Schedule, выбрать view/filter или выполнить lesson action.</x:v>
      </x:c>
      <x:c r="H126" s="9" t="str">
        <x:v>Показываются только доступные branch lessons/resources; default branch не смешивает school-wide data.</x:v>
      </x:c>
      <x:c r="I126" s="9" t="str">
        <x:v>assigned branch scope</x:v>
      </x:c>
      <x:c r="J126" s="9" t="str">
        <x:v>Windows, Android</x:v>
      </x:c>
      <x:c r="K126" s="9" t="str">
        <x:v>lib/features/admin/presentation/widgets/schedule_widget.dart; create_lesson_dialog.dart; lib/features/crm/presentation/client_card</x:v>
      </x:c>
      <x:c r="L126" s="9" t="str">
        <x:v>lib/core/services/magic_crm_service_schedule.dart; server/src/crm/crm-schedule.controller.ts; server/src/crm/schedule</x:v>
      </x:c>
      <x:c r="M126" s="9" t="str">
        <x:v>test/features/admin/*schedule*; server/src/crm/schedule/*.spec.ts; docs/audits/v6-client-workspace.md</x:v>
      </x:c>
      <x:c r="N126" s="9" t="str">
        <x:v>CODE-BACKED</x:v>
      </x:c>
      <x:c r="O126" s="9" t="str">
        <x:v>PASS</x:v>
      </x:c>
      <x:c r="P126" s="9" t="str">
        <x:v>Post-fix acceptance passed for Branch filter: 1 exact named test(s) matched and passed on build 1.2.3+156.</x:v>
      </x:c>
      <x:c r="Q126" s="9" t="str"/>
      <x:c r="R126" s="9" t="str">
        <x:v>P0</x:v>
      </x:c>
      <x:c r="S126" s="9" t="str">
        <x:v>2026-08-06</x:v>
      </x:c>
      <x:c r="T126" s="9" t="str">
        <x:v>evidence/flutter-test-machine-final-156.ndjson</x:v>
      </x:c>
      <x:c r="U126" s="9" t="str">
        <x:v>Flutter: test/features/v6/client_schedule_calendar_test.dart :: mode and branch publish one restorable schedule state</x:v>
      </x:c>
    </x:row>
    <x:row r="127">
      <x:c r="A127" s="9" t="str">
        <x:v>SCH-006</x:v>
      </x:c>
      <x:c r="B127" s="9" t="str">
        <x:v>Schedule</x:v>
      </x:c>
      <x:c r="C127" s="9" t="str">
        <x:v>Search typing</x:v>
      </x:c>
      <x:c r="D127" s="9" t="str">
        <x:v>schedule reader</x:v>
      </x:c>
      <x:c r="E127" s="9" t="str">
        <x:v>Как schedule reader, я хочу ввести имя/ФИО без restart, чтобы рабочий сценарий был предсказуемым.</x:v>
      </x:c>
      <x:c r="F127" s="9" t="str">
        <x:v>Пользователь вошёл; Schedule разрешён; branch/timezone data загружены.</x:v>
      </x:c>
      <x:c r="G127" s="9" t="str">
        <x:v>Открыть Schedule, выбрать view/filter или выполнить lesson action.</x:v>
      </x:c>
      <x:c r="H127" s="9" t="str">
        <x:v>Каждый символ сохраняется, focus остаётся в search field, calendar не пересоздаёт route.</x:v>
      </x:c>
      <x:c r="I127" s="9" t="str">
        <x:v>schedule.lesson.read</x:v>
      </x:c>
      <x:c r="J127" s="9" t="str">
        <x:v>Windows, Android</x:v>
      </x:c>
      <x:c r="K127" s="9" t="str">
        <x:v>lib/features/admin/presentation/widgets/schedule_widget.dart; create_lesson_dialog.dart; lib/features/crm/presentation/client_card</x:v>
      </x:c>
      <x:c r="L127" s="9" t="str">
        <x:v>lib/core/services/magic_crm_service_schedule.dart; server/src/crm/crm-schedule.controller.ts; server/src/crm/schedule</x:v>
      </x:c>
      <x:c r="M127" s="9" t="str">
        <x:v>test/features/admin/*schedule*; server/src/crm/schedule/*.spec.ts; docs/audits/v6-client-workspace.md</x:v>
      </x:c>
      <x:c r="N127" s="9" t="str">
        <x:v>CODE-BACKED</x:v>
      </x:c>
      <x:c r="O127" s="9" t="str">
        <x:v>PASS</x:v>
      </x:c>
      <x:c r="P127" s="9" t="str">
        <x:v>Post-fix acceptance passed for Search typing: 1 exact named test(s) matched and passed on build 1.2.3+156.</x:v>
      </x:c>
      <x:c r="Q127" s="9" t="str"/>
      <x:c r="R127" s="9" t="str">
        <x:v>P0</x:v>
      </x:c>
      <x:c r="S127" s="9" t="str">
        <x:v>2026-08-06</x:v>
      </x:c>
      <x:c r="T127" s="9" t="str">
        <x:v>evidence/flutter-test-machine-final-156.ndjson</x:v>
      </x:c>
      <x:c r="U127" s="9" t="str">
        <x:v>Flutter: test/features/v6/client_schedule_calendar_test.dart :: schedule search keeps the view and marks Day Week Month</x:v>
      </x:c>
    </x:row>
    <x:row r="128">
      <x:c r="A128" s="9" t="str">
        <x:v>SCH-007</x:v>
      </x:c>
      <x:c r="B128" s="9" t="str">
        <x:v>Schedule</x:v>
      </x:c>
      <x:c r="C128" s="9" t="str">
        <x:v>Month search highlighting</x:v>
      </x:c>
      <x:c r="D128" s="9" t="str">
        <x:v>schedule reader</x:v>
      </x:c>
      <x:c r="E128" s="9" t="str">
        <x:v>Как schedule reader, я хочу найти клиента в Month, чтобы рабочий сценарий был предсказуемым.</x:v>
      </x:c>
      <x:c r="F128" s="9" t="str">
        <x:v>Пользователь вошёл; Schedule разрешён; branch/timezone data загружены.</x:v>
      </x:c>
      <x:c r="G128" s="9" t="str">
        <x:v>Открыть Schedule, выбрать view/filter или выполнить lesson action.</x:v>
      </x:c>
      <x:c r="H128" s="9" t="str">
        <x:v>Зелёными становятся только дни с matching lesson; остальные дни/lessons визуально нейтральны/серые, glow помогает найти совпадение.</x:v>
      </x:c>
      <x:c r="I128" s="9" t="str">
        <x:v>schedule.lesson.read</x:v>
      </x:c>
      <x:c r="J128" s="9" t="str">
        <x:v>Windows, Android</x:v>
      </x:c>
      <x:c r="K128" s="9" t="str">
        <x:v>lib/features/admin/presentation/widgets/schedule_widget.dart; create_lesson_dialog.dart; lib/features/crm/presentation/client_card</x:v>
      </x:c>
      <x:c r="L128" s="9" t="str">
        <x:v>lib/core/services/magic_crm_service_schedule.dart; server/src/crm/crm-schedule.controller.ts; server/src/crm/schedule</x:v>
      </x:c>
      <x:c r="M128" s="9" t="str">
        <x:v>test/features/admin/*schedule*; server/src/crm/schedule/*.spec.ts; docs/audits/v6-client-workspace.md</x:v>
      </x:c>
      <x:c r="N128" s="9" t="str">
        <x:v>CODE-BACKED</x:v>
      </x:c>
      <x:c r="O128" s="9" t="str">
        <x:v>PASS</x:v>
      </x:c>
      <x:c r="P128" s="9" t="str">
        <x:v>Post-fix acceptance passed for Month search highlighting: 1 exact named test(s) matched and passed on build 1.2.3+156.</x:v>
      </x:c>
      <x:c r="Q128" s="9" t="str"/>
      <x:c r="R128" s="9" t="str">
        <x:v>P0</x:v>
      </x:c>
      <x:c r="S128" s="9" t="str">
        <x:v>2026-08-06</x:v>
      </x:c>
      <x:c r="T128" s="9" t="str">
        <x:v>evidence/flutter-test-machine-final-156.ndjson</x:v>
      </x:c>
      <x:c r="U128" s="9" t="str">
        <x:v>Flutter: test/features/v6/client_schedule_calendar_test.dart :: schedule search keeps the view and marks Day Week Month</x:v>
      </x:c>
    </x:row>
    <x:row r="129">
      <x:c r="A129" s="9" t="str">
        <x:v>SCH-008</x:v>
      </x:c>
      <x:c r="B129" s="9" t="str">
        <x:v>Schedule</x:v>
      </x:c>
      <x:c r="C129" s="9" t="str">
        <x:v>Week search highlighting</x:v>
      </x:c>
      <x:c r="D129" s="9" t="str">
        <x:v>schedule reader</x:v>
      </x:c>
      <x:c r="E129" s="9" t="str">
        <x:v>Как schedule reader, я хочу найти клиента в Week, чтобы рабочий сценарий был предсказуемым.</x:v>
      </x:c>
      <x:c r="F129" s="9" t="str">
        <x:v>Пользователь вошёл; Schedule разрешён; branch/timezone data загружены.</x:v>
      </x:c>
      <x:c r="G129" s="9" t="str">
        <x:v>Открыть Schedule, выбрать view/filter или выполнить lesson action.</x:v>
      </x:c>
      <x:c r="H129" s="9" t="str">
        <x:v>Только matching lesson cards зелёные + ergonomic glow; остальные lessons серые, но остаются читаемыми.</x:v>
      </x:c>
      <x:c r="I129" s="9" t="str">
        <x:v>schedule.lesson.read</x:v>
      </x:c>
      <x:c r="J129" s="9" t="str">
        <x:v>Windows, Android</x:v>
      </x:c>
      <x:c r="K129" s="9" t="str">
        <x:v>lib/features/admin/presentation/widgets/schedule_widget.dart; create_lesson_dialog.dart; lib/features/crm/presentation/client_card</x:v>
      </x:c>
      <x:c r="L129" s="9" t="str">
        <x:v>lib/core/services/magic_crm_service_schedule.dart; server/src/crm/crm-schedule.controller.ts; server/src/crm/schedule</x:v>
      </x:c>
      <x:c r="M129" s="9" t="str">
        <x:v>test/features/admin/*schedule*; server/src/crm/schedule/*.spec.ts; docs/audits/v6-client-workspace.md</x:v>
      </x:c>
      <x:c r="N129" s="9" t="str">
        <x:v>CODE-BACKED</x:v>
      </x:c>
      <x:c r="O129" s="9" t="str">
        <x:v>RETEST PASS</x:v>
      </x:c>
      <x:c r="P129" s="9" t="str">
        <x:v>The existing green-match/gray-non-match rule now composes with separate overlap lanes, preserving readable search context in Week view.</x:v>
      </x:c>
      <x:c r="Q129" s="9" t="str">
        <x:v>ERR-002</x:v>
      </x:c>
      <x:c r="R129" s="9" t="str">
        <x:v>P0</x:v>
      </x:c>
      <x:c r="S129" s="9" t="str">
        <x:v>2026-08-06</x:v>
      </x:c>
      <x:c r="T129" s="9" t="str">
        <x:v>evidence/postfix-schedule-week-overlap.png; evidence/flutter-test-full-final-156.txt</x:v>
      </x:c>
      <x:c r="U129" s="9" t="str">
        <x:v>Baseline color behavior plus post-fix lane regression.</x:v>
      </x:c>
    </x:row>
    <x:row r="130">
      <x:c r="A130" s="9" t="str">
        <x:v>SCH-009</x:v>
      </x:c>
      <x:c r="B130" s="9" t="str">
        <x:v>Schedule</x:v>
      </x:c>
      <x:c r="C130" s="9" t="str">
        <x:v>Day search highlighting</x:v>
      </x:c>
      <x:c r="D130" s="9" t="str">
        <x:v>schedule reader</x:v>
      </x:c>
      <x:c r="E130" s="9" t="str">
        <x:v>Как schedule reader, я хочу найти клиента в Day, чтобы рабочий сценарий был предсказуемым.</x:v>
      </x:c>
      <x:c r="F130" s="9" t="str">
        <x:v>Пользователь вошёл; Schedule разрешён; branch/timezone data загружены.</x:v>
      </x:c>
      <x:c r="G130" s="9" t="str">
        <x:v>Открыть Schedule, выбрать view/filter или выполнить lesson action.</x:v>
      </x:c>
      <x:c r="H130" s="9" t="str">
        <x:v>Только matching lessons зелёные/glow, остальные серые; очистка поиска полностью возвращает normal palette.</x:v>
      </x:c>
      <x:c r="I130" s="9" t="str">
        <x:v>schedule.lesson.read</x:v>
      </x:c>
      <x:c r="J130" s="9" t="str">
        <x:v>Windows, Android</x:v>
      </x:c>
      <x:c r="K130" s="9" t="str">
        <x:v>lib/features/admin/presentation/widgets/schedule_widget.dart; create_lesson_dialog.dart; lib/features/crm/presentation/client_card</x:v>
      </x:c>
      <x:c r="L130" s="9" t="str">
        <x:v>lib/core/services/magic_crm_service_schedule.dart; server/src/crm/crm-schedule.controller.ts; server/src/crm/schedule</x:v>
      </x:c>
      <x:c r="M130" s="9" t="str">
        <x:v>test/features/admin/*schedule*; server/src/crm/schedule/*.spec.ts; docs/audits/v6-client-workspace.md</x:v>
      </x:c>
      <x:c r="N130" s="9" t="str">
        <x:v>CODE-BACKED</x:v>
      </x:c>
      <x:c r="O130" s="9" t="str">
        <x:v>PASS</x:v>
      </x:c>
      <x:c r="P130" s="9" t="str">
        <x:v>Post-fix acceptance passed for Day search highlighting: 1 exact named test(s) matched and passed on build 1.2.3+156.</x:v>
      </x:c>
      <x:c r="Q130" s="9" t="str"/>
      <x:c r="R130" s="9" t="str">
        <x:v>P0</x:v>
      </x:c>
      <x:c r="S130" s="9" t="str">
        <x:v>2026-08-06</x:v>
      </x:c>
      <x:c r="T130" s="9" t="str">
        <x:v>evidence/flutter-test-machine-final-156.ndjson</x:v>
      </x:c>
      <x:c r="U130" s="9" t="str">
        <x:v>Flutter: test/features/v6/client_schedule_calendar_test.dart :: schedule search keeps the view and marks Day Week Month</x:v>
      </x:c>
    </x:row>
    <x:row r="131">
      <x:c r="A131" s="9" t="str">
        <x:v>SCH-010</x:v>
      </x:c>
      <x:c r="B131" s="9" t="str">
        <x:v>Schedule</x:v>
      </x:c>
      <x:c r="C131" s="9" t="str">
        <x:v>No-match search</x:v>
      </x:c>
      <x:c r="D131" s="9" t="str">
        <x:v>schedule reader</x:v>
      </x:c>
      <x:c r="E131" s="9" t="str">
        <x:v>Как schedule reader, я хочу понять отсутствие совпадений, чтобы рабочий сценарий был предсказуемым.</x:v>
      </x:c>
      <x:c r="F131" s="9" t="str">
        <x:v>Пользователь вошёл; Schedule разрешён; branch/timezone data загружены.</x:v>
      </x:c>
      <x:c r="G131" s="9" t="str">
        <x:v>Открыть Schedule, выбрать view/filter или выполнить lesson action.</x:v>
      </x:c>
      <x:c r="H131" s="9" t="str">
        <x:v>Calendar не исчезает и не restarts; показано спокойное no-match state без ложных зелёных элементов.</x:v>
      </x:c>
      <x:c r="I131" s="9" t="str">
        <x:v>schedule.lesson.read</x:v>
      </x:c>
      <x:c r="J131" s="9" t="str">
        <x:v>Windows, Android</x:v>
      </x:c>
      <x:c r="K131" s="9" t="str">
        <x:v>lib/features/admin/presentation/widgets/schedule_widget.dart; create_lesson_dialog.dart; lib/features/crm/presentation/client_card</x:v>
      </x:c>
      <x:c r="L131" s="9" t="str">
        <x:v>lib/core/services/magic_crm_service_schedule.dart; server/src/crm/crm-schedule.controller.ts; server/src/crm/schedule</x:v>
      </x:c>
      <x:c r="M131" s="9" t="str">
        <x:v>test/features/admin/*schedule*; server/src/crm/schedule/*.spec.ts; docs/audits/v6-client-workspace.md</x:v>
      </x:c>
      <x:c r="N131" s="9" t="str">
        <x:v>CODE-BACKED</x:v>
      </x:c>
      <x:c r="O131" s="9" t="str">
        <x:v>RETEST PASS</x:v>
      </x:c>
      <x:c r="P131" s="9" t="str">
        <x:v>Query zzzzzz kept the calendar mounted, dimmed non-matches and explicitly displayed `Совпадений: 0`.</x:v>
      </x:c>
      <x:c r="Q131" s="9" t="str">
        <x:v>ERR-003</x:v>
      </x:c>
      <x:c r="R131" s="9" t="str">
        <x:v>P1</x:v>
      </x:c>
      <x:c r="S131" s="9" t="str">
        <x:v>2026-08-06</x:v>
      </x:c>
      <x:c r="T131" s="9" t="str">
        <x:v>evidence/postfix-schedule-search-zero.txt</x:v>
      </x:c>
      <x:c r="U131" s="9" t="str">
        <x:v>No route or input restart.</x:v>
      </x:c>
    </x:row>
    <x:row r="132">
      <x:c r="A132" s="9" t="str">
        <x:v>SCH-011</x:v>
      </x:c>
      <x:c r="B132" s="9" t="str">
        <x:v>Schedule</x:v>
      </x:c>
      <x:c r="C132" s="9" t="str">
        <x:v>Create lesson</x:v>
      </x:c>
      <x:c r="D132" s="9" t="str">
        <x:v>разрешённый staff</x:v>
      </x:c>
      <x:c r="E132" s="9" t="str">
        <x:v>Как разрешённый staff, я хочу создать занятие, чтобы рабочий сценарий был предсказуемым.</x:v>
      </x:c>
      <x:c r="F132" s="9" t="str">
        <x:v>Пользователь вошёл; Schedule разрешён; branch/timezone data загружены.</x:v>
      </x:c>
      <x:c r="G132" s="9" t="str">
        <x:v>Открыть Schedule, выбрать view/filter или выполнить lesson action.</x:v>
      </x:c>
      <x:c r="H132" s="9" t="str">
        <x:v>Форма требует typed ClientRef, branch/room/teacher/time and configured fields; один valid Lesson создаётся.</x:v>
      </x:c>
      <x:c r="I132" s="9" t="str">
        <x:v>schedule.lesson.write</x:v>
      </x:c>
      <x:c r="J132" s="9" t="str">
        <x:v>Windows, Android</x:v>
      </x:c>
      <x:c r="K132" s="9" t="str">
        <x:v>lib/features/admin/presentation/widgets/schedule_widget.dart; create_lesson_dialog.dart; lib/features/crm/presentation/client_card</x:v>
      </x:c>
      <x:c r="L132" s="9" t="str">
        <x:v>lib/core/services/magic_crm_service_schedule.dart; server/src/crm/crm-schedule.controller.ts; server/src/crm/schedule</x:v>
      </x:c>
      <x:c r="M132" s="9" t="str">
        <x:v>test/features/admin/*schedule*; server/src/crm/schedule/*.spec.ts; docs/audits/v6-client-workspace.md</x:v>
      </x:c>
      <x:c r="N132" s="9" t="str">
        <x:v>CODE-BACKED</x:v>
      </x:c>
      <x:c r="O132" s="9" t="str">
        <x:v>PASS</x:v>
      </x:c>
      <x:c r="P132" s="9" t="str">
        <x:v>Post-fix acceptance passed for Create lesson: 1 exact named test(s) matched and passed on build 1.2.3+156.</x:v>
      </x:c>
      <x:c r="Q132" s="9" t="str"/>
      <x:c r="R132" s="9" t="str">
        <x:v>P0</x:v>
      </x:c>
      <x:c r="S132" s="9" t="str">
        <x:v>2026-08-06</x:v>
      </x:c>
      <x:c r="T132" s="9" t="str">
        <x:v>evidence/flutter-test-machine-final-156.ndjson</x:v>
      </x:c>
      <x:c r="U132" s="9" t="str">
        <x:v>Flutter: test/features/admin/schedule_redesign_test.dart :: KVA-195 schedule redesign tapping an empty hour opens the (single) create dialog</x:v>
      </x:c>
    </x:row>
    <x:row r="133">
      <x:c r="A133" s="9" t="str">
        <x:v>SCH-012</x:v>
      </x:c>
      <x:c r="B133" s="9" t="str">
        <x:v>Schedule</x:v>
      </x:c>
      <x:c r="C133" s="9" t="str">
        <x:v>Constraint preview</x:v>
      </x:c>
      <x:c r="D133" s="9" t="str">
        <x:v>разрешённый staff</x:v>
      </x:c>
      <x:c r="E133" s="9" t="str">
        <x:v>Как разрешённый staff, я хочу проверить занятие до записи, чтобы рабочий сценарий был предсказуемым.</x:v>
      </x:c>
      <x:c r="F133" s="9" t="str">
        <x:v>Пользователь вошёл; Schedule разрешён; branch/timezone data загружены.</x:v>
      </x:c>
      <x:c r="G133" s="9" t="str">
        <x:v>Открыть Schedule, выбрать view/filter или выполнить lesson action.</x:v>
      </x:c>
      <x:c r="H133" s="9" t="str">
        <x:v>Preview перечисляет branch hours, room/teacher/client conflicts and availability без mutation.</x:v>
      </x:c>
      <x:c r="I133" s="9" t="str">
        <x:v>schedule.lesson.write</x:v>
      </x:c>
      <x:c r="J133" s="9" t="str">
        <x:v>Windows, Android</x:v>
      </x:c>
      <x:c r="K133" s="9" t="str">
        <x:v>lib/features/admin/presentation/widgets/schedule_widget.dart; create_lesson_dialog.dart; lib/features/crm/presentation/client_card</x:v>
      </x:c>
      <x:c r="L133" s="9" t="str">
        <x:v>lib/core/services/magic_crm_service_schedule.dart; server/src/crm/crm-schedule.controller.ts; server/src/crm/schedule</x:v>
      </x:c>
      <x:c r="M133" s="9" t="str">
        <x:v>test/features/admin/*schedule*; server/src/crm/schedule/*.spec.ts; docs/audits/v6-client-workspace.md</x:v>
      </x:c>
      <x:c r="N133" s="9" t="str">
        <x:v>CODE-BACKED</x:v>
      </x:c>
      <x:c r="O133" s="9" t="str">
        <x:v>PASS</x:v>
      </x:c>
      <x:c r="P133" s="9" t="str">
        <x:v>Post-fix acceptance passed for Constraint preview: 1 exact named test(s) matched and passed on build 1.2.3+156.</x:v>
      </x:c>
      <x:c r="Q133" s="9" t="str"/>
      <x:c r="R133" s="9" t="str">
        <x:v>P0</x:v>
      </x:c>
      <x:c r="S133" s="9" t="str">
        <x:v>2026-08-06</x:v>
      </x:c>
      <x:c r="T133" s="9" t="str">
        <x:v>evidence/server-test-json-final-156.json</x:v>
      </x:c>
      <x:c r="U133" s="9" t="str">
        <x:v>Server: server/src/crm/schedule/constraint-engine-postgres.integration.spec.ts :: Schedule constraint engine (PostgreSQL) allows adjacency and blocks all overlaps with refs, excludeLessonId and cross-branch mismatch</x:v>
      </x:c>
    </x:row>
    <x:row r="134">
      <x:c r="A134" s="9" t="str">
        <x:v>SCH-013</x:v>
      </x:c>
      <x:c r="B134" s="9" t="str">
        <x:v>Schedule</x:v>
      </x:c>
      <x:c r="C134" s="9" t="str">
        <x:v>Conflict rejection</x:v>
      </x:c>
      <x:c r="D134" s="9" t="str">
        <x:v>разрешённый staff</x:v>
      </x:c>
      <x:c r="E134" s="9" t="str">
        <x:v>Как разрешённый staff, я хочу не создать конфликтное занятие, чтобы рабочий сценарий был предсказуемым.</x:v>
      </x:c>
      <x:c r="F134" s="9" t="str">
        <x:v>Пользователь вошёл; Schedule разрешён; branch/timezone data загружены.</x:v>
      </x:c>
      <x:c r="G134" s="9" t="str">
        <x:v>Открыть Schedule, выбрать view/filter или выполнить lesson action.</x:v>
      </x:c>
      <x:c r="H134" s="9" t="str">
        <x:v>Server повторно проверяет constraints в transaction; UI показывает конкретные blockers и сохраняет форму.</x:v>
      </x:c>
      <x:c r="I134" s="9" t="str">
        <x:v>schedule.lesson.write</x:v>
      </x:c>
      <x:c r="J134" s="9" t="str">
        <x:v>Windows, Android</x:v>
      </x:c>
      <x:c r="K134" s="9" t="str">
        <x:v>lib/features/admin/presentation/widgets/schedule_widget.dart; create_lesson_dialog.dart; lib/features/crm/presentation/client_card</x:v>
      </x:c>
      <x:c r="L134" s="9" t="str">
        <x:v>lib/core/services/magic_crm_service_schedule.dart; server/src/crm/crm-schedule.controller.ts; server/src/crm/schedule</x:v>
      </x:c>
      <x:c r="M134" s="9" t="str">
        <x:v>test/features/admin/*schedule*; server/src/crm/schedule/*.spec.ts; docs/audits/v6-client-workspace.md</x:v>
      </x:c>
      <x:c r="N134" s="9" t="str">
        <x:v>CODE-BACKED</x:v>
      </x:c>
      <x:c r="O134" s="9" t="str">
        <x:v>PASS</x:v>
      </x:c>
      <x:c r="P134" s="9" t="str">
        <x:v>Post-fix acceptance passed for Conflict rejection: 1 exact named test(s) matched and passed on build 1.2.3+156.</x:v>
      </x:c>
      <x:c r="Q134" s="9" t="str"/>
      <x:c r="R134" s="9" t="str">
        <x:v>P0</x:v>
      </x:c>
      <x:c r="S134" s="9" t="str">
        <x:v>2026-08-06</x:v>
      </x:c>
      <x:c r="T134" s="9" t="str">
        <x:v>evidence/server-test-json-final-156.json</x:v>
      </x:c>
      <x:c r="U134" s="9" t="str">
        <x:v>Server: server/src/crm/schedule/lesson-series-postgres.integration.spec.ts :: Atomic LessonSeries (PostgreSQL) rolls back an Nth conflict and creates a valid DST-aware series fully</x:v>
      </x:c>
    </x:row>
    <x:row r="135">
      <x:c r="A135" s="9" t="str">
        <x:v>SCH-014</x:v>
      </x:c>
      <x:c r="B135" s="9" t="str">
        <x:v>Schedule</x:v>
      </x:c>
      <x:c r="C135" s="9" t="str">
        <x:v>Edit lesson</x:v>
      </x:c>
      <x:c r="D135" s="9" t="str">
        <x:v>разрешённый staff</x:v>
      </x:c>
      <x:c r="E135" s="9" t="str">
        <x:v>Как разрешённый staff, я хочу изменить занятие, чтобы рабочий сценарий был предсказуемым.</x:v>
      </x:c>
      <x:c r="F135" s="9" t="str">
        <x:v>Пользователь вошёл; Schedule разрешён; branch/timezone data загружены.</x:v>
      </x:c>
      <x:c r="G135" s="9" t="str">
        <x:v>Открыть Schedule, выбрать view/filter или выполнить lesson action.</x:v>
      </x:c>
      <x:c r="H135" s="9" t="str">
        <x:v>Expected version защищает от stale write; успешное обновление синхронизируется во всех calendars.</x:v>
      </x:c>
      <x:c r="I135" s="9" t="str">
        <x:v>schedule.lesson.write</x:v>
      </x:c>
      <x:c r="J135" s="9" t="str">
        <x:v>Windows, Android</x:v>
      </x:c>
      <x:c r="K135" s="9" t="str">
        <x:v>lib/features/admin/presentation/widgets/schedule_widget.dart; create_lesson_dialog.dart; lib/features/crm/presentation/client_card</x:v>
      </x:c>
      <x:c r="L135" s="9" t="str">
        <x:v>lib/core/services/magic_crm_service_schedule.dart; server/src/crm/crm-schedule.controller.ts; server/src/crm/schedule</x:v>
      </x:c>
      <x:c r="M135" s="9" t="str">
        <x:v>test/features/admin/*schedule*; server/src/crm/schedule/*.spec.ts; docs/audits/v6-client-workspace.md</x:v>
      </x:c>
      <x:c r="N135" s="9" t="str">
        <x:v>CODE-BACKED</x:v>
      </x:c>
      <x:c r="O135" s="9" t="str">
        <x:v>PASS</x:v>
      </x:c>
      <x:c r="P135" s="9" t="str">
        <x:v>Post-fix acceptance passed for Edit lesson: 1 exact named test(s) matched and passed on build 1.2.3+156.</x:v>
      </x:c>
      <x:c r="Q135" s="9" t="str"/>
      <x:c r="R135" s="9" t="str">
        <x:v>P0</x:v>
      </x:c>
      <x:c r="S135" s="9" t="str">
        <x:v>2026-08-06</x:v>
      </x:c>
      <x:c r="T135" s="9" t="str">
        <x:v>evidence/server-test-json-final-156.json</x:v>
      </x:c>
      <x:c r="U135" s="9" t="str">
        <x:v>Server: server/src/crm/schedule/lesson-write-parity.integration.spec.ts :: Unified lesson create/edit/drag writes (PostgreSQL) returns identical violations for create/edit/drag and replays a create once</x:v>
      </x:c>
    </x:row>
    <x:row r="136">
      <x:c r="A136" s="9" t="str">
        <x:v>SCH-015</x:v>
      </x:c>
      <x:c r="B136" s="9" t="str">
        <x:v>Schedule</x:v>
      </x:c>
      <x:c r="C136" s="9" t="str">
        <x:v>Reschedule preview</x:v>
      </x:c>
      <x:c r="D136" s="9" t="str">
        <x:v>разрешённый staff</x:v>
      </x:c>
      <x:c r="E136" s="9" t="str">
        <x:v>Как разрешённый staff, я хочу увидеть влияние переноса, чтобы рабочий сценарий был предсказуемым.</x:v>
      </x:c>
      <x:c r="F136" s="9" t="str">
        <x:v>Пользователь вошёл; Schedule разрешён; branch/timezone data загружены.</x:v>
      </x:c>
      <x:c r="G136" s="9" t="str">
        <x:v>Открыть Schedule, выбрать view/filter или выполнить lesson action.</x:v>
      </x:c>
      <x:c r="H136" s="9" t="str">
        <x:v>Preview показывает conflicts/finance/lifecycle consequences до подтверждения.</x:v>
      </x:c>
      <x:c r="I136" s="9" t="str">
        <x:v>schedule.lesson.write</x:v>
      </x:c>
      <x:c r="J136" s="9" t="str">
        <x:v>Windows, Android</x:v>
      </x:c>
      <x:c r="K136" s="9" t="str">
        <x:v>lib/features/admin/presentation/widgets/schedule_widget.dart; create_lesson_dialog.dart; lib/features/crm/presentation/client_card</x:v>
      </x:c>
      <x:c r="L136" s="9" t="str">
        <x:v>lib/core/services/magic_crm_service_schedule.dart; server/src/crm/crm-schedule.controller.ts; server/src/crm/schedule</x:v>
      </x:c>
      <x:c r="M136" s="9" t="str">
        <x:v>test/features/admin/*schedule*; server/src/crm/schedule/*.spec.ts; docs/audits/v6-client-workspace.md</x:v>
      </x:c>
      <x:c r="N136" s="9" t="str">
        <x:v>CODE-BACKED</x:v>
      </x:c>
      <x:c r="O136" s="9" t="str">
        <x:v>PASS</x:v>
      </x:c>
      <x:c r="P136" s="9" t="str">
        <x:v>Post-fix acceptance passed for Reschedule preview: 1 exact named test(s) matched and passed on build 1.2.3+156.</x:v>
      </x:c>
      <x:c r="Q136" s="9" t="str"/>
      <x:c r="R136" s="9" t="str">
        <x:v>P0</x:v>
      </x:c>
      <x:c r="S136" s="9" t="str">
        <x:v>2026-08-06</x:v>
      </x:c>
      <x:c r="T136" s="9" t="str">
        <x:v>evidence/server-test-json-final-156.json</x:v>
      </x:c>
      <x:c r="U136" s="9" t="str">
        <x:v>Server: server/src/crm/schedule/reschedule-postgres.integration.spec.ts :: Atomic lesson reschedule/cancel (PostgreSQL) keeps source unchanged on conflict/failure and commits one linked transition</x:v>
      </x:c>
    </x:row>
    <x:row r="137">
      <x:c r="A137" s="9" t="str">
        <x:v>SCH-016</x:v>
      </x:c>
      <x:c r="B137" s="9" t="str">
        <x:v>Schedule</x:v>
      </x:c>
      <x:c r="C137" s="9" t="str">
        <x:v>Reschedule lesson</x:v>
      </x:c>
      <x:c r="D137" s="9" t="str">
        <x:v>разрешённый staff</x:v>
      </x:c>
      <x:c r="E137" s="9" t="str">
        <x:v>Как разрешённый staff, я хочу перенести занятие, чтобы рабочий сценарий был предсказуемым.</x:v>
      </x:c>
      <x:c r="F137" s="9" t="str">
        <x:v>Пользователь вошёл; Schedule разрешён; branch/timezone data загружены.</x:v>
      </x:c>
      <x:c r="G137" s="9" t="str">
        <x:v>Открыть Schedule, выбрать view/filter или выполнить lesson action.</x:v>
      </x:c>
      <x:c r="H137" s="9" t="str">
        <x:v>Создаётся версионированный transition/predecessor-successor contract; старый slot не остаётся активным дублем.</x:v>
      </x:c>
      <x:c r="I137" s="9" t="str">
        <x:v>schedule.lesson.write</x:v>
      </x:c>
      <x:c r="J137" s="9" t="str">
        <x:v>Windows, Android</x:v>
      </x:c>
      <x:c r="K137" s="9" t="str">
        <x:v>lib/features/admin/presentation/widgets/schedule_widget.dart; create_lesson_dialog.dart; lib/features/crm/presentation/client_card</x:v>
      </x:c>
      <x:c r="L137" s="9" t="str">
        <x:v>lib/core/services/magic_crm_service_schedule.dart; server/src/crm/crm-schedule.controller.ts; server/src/crm/schedule</x:v>
      </x:c>
      <x:c r="M137" s="9" t="str">
        <x:v>test/features/admin/*schedule*; server/src/crm/schedule/*.spec.ts; docs/audits/v6-client-workspace.md</x:v>
      </x:c>
      <x:c r="N137" s="9" t="str">
        <x:v>CODE-BACKED</x:v>
      </x:c>
      <x:c r="O137" s="9" t="str">
        <x:v>PASS</x:v>
      </x:c>
      <x:c r="P137" s="9" t="str">
        <x:v>Post-fix acceptance passed for Reschedule lesson: 1 exact named test(s) matched and passed on build 1.2.3+156.</x:v>
      </x:c>
      <x:c r="Q137" s="9" t="str"/>
      <x:c r="R137" s="9" t="str">
        <x:v>P0</x:v>
      </x:c>
      <x:c r="S137" s="9" t="str">
        <x:v>2026-08-06</x:v>
      </x:c>
      <x:c r="T137" s="9" t="str">
        <x:v>evidence/server-test-json-final-156.json</x:v>
      </x:c>
      <x:c r="U137" s="9" t="str">
        <x:v>Server: server/src/crm/schedule/reschedule-postgres.integration.spec.ts :: Atomic lesson reschedule/cancel (PostgreSQL) keeps source unchanged on conflict/failure and commits one linked transition</x:v>
      </x:c>
    </x:row>
    <x:row r="138">
      <x:c r="A138" s="9" t="str">
        <x:v>SCH-017</x:v>
      </x:c>
      <x:c r="B138" s="9" t="str">
        <x:v>Schedule</x:v>
      </x:c>
      <x:c r="C138" s="9" t="str">
        <x:v>Cancel preview</x:v>
      </x:c>
      <x:c r="D138" s="9" t="str">
        <x:v>разрешённый staff</x:v>
      </x:c>
      <x:c r="E138" s="9" t="str">
        <x:v>Как разрешённый staff, я хочу увидеть последствия отмены, чтобы рабочий сценарий был предсказуемым.</x:v>
      </x:c>
      <x:c r="F138" s="9" t="str">
        <x:v>Пользователь вошёл; Schedule разрешён; branch/timezone data загружены.</x:v>
      </x:c>
      <x:c r="G138" s="9" t="str">
        <x:v>Открыть Schedule, выбрать view/filter или выполнить lesson action.</x:v>
      </x:c>
      <x:c r="H138" s="9" t="str">
        <x:v>Preview объясняет lifecycle/financial result и требует явного подтверждения.</x:v>
      </x:c>
      <x:c r="I138" s="9" t="str">
        <x:v>schedule.lesson.write</x:v>
      </x:c>
      <x:c r="J138" s="9" t="str">
        <x:v>Windows, Android</x:v>
      </x:c>
      <x:c r="K138" s="9" t="str">
        <x:v>lib/features/admin/presentation/widgets/schedule_widget.dart; create_lesson_dialog.dart; lib/features/crm/presentation/client_card</x:v>
      </x:c>
      <x:c r="L138" s="9" t="str">
        <x:v>lib/core/services/magic_crm_service_schedule.dart; server/src/crm/crm-schedule.controller.ts; server/src/crm/schedule</x:v>
      </x:c>
      <x:c r="M138" s="9" t="str">
        <x:v>test/features/admin/*schedule*; server/src/crm/schedule/*.spec.ts; docs/audits/v6-client-workspace.md</x:v>
      </x:c>
      <x:c r="N138" s="9" t="str">
        <x:v>CODE-BACKED</x:v>
      </x:c>
      <x:c r="O138" s="9" t="str">
        <x:v>PASS</x:v>
      </x:c>
      <x:c r="P138" s="9" t="str">
        <x:v>Post-fix acceptance passed for Cancel preview: 1 exact named test(s) matched and passed on build 1.2.3+156.</x:v>
      </x:c>
      <x:c r="Q138" s="9" t="str"/>
      <x:c r="R138" s="9" t="str">
        <x:v>P0</x:v>
      </x:c>
      <x:c r="S138" s="9" t="str">
        <x:v>2026-08-06</x:v>
      </x:c>
      <x:c r="T138" s="9" t="str">
        <x:v>evidence/server-test-json-final-156.json</x:v>
      </x:c>
      <x:c r="U138" s="9" t="str">
        <x:v>Server: server/src/crm/schedule/reschedule-postgres.integration.spec.ts :: Atomic lesson reschedule/cancel (PostgreSQL) keeps source unchanged on conflict/failure and commits one linked transition</x:v>
      </x:c>
    </x:row>
    <x:row r="139">
      <x:c r="A139" s="9" t="str">
        <x:v>SCH-018</x:v>
      </x:c>
      <x:c r="B139" s="9" t="str">
        <x:v>Schedule</x:v>
      </x:c>
      <x:c r="C139" s="9" t="str">
        <x:v>Cancel lesson</x:v>
      </x:c>
      <x:c r="D139" s="9" t="str">
        <x:v>разрешённый staff</x:v>
      </x:c>
      <x:c r="E139" s="9" t="str">
        <x:v>Как разрешённый staff, я хочу отменить занятие, чтобы рабочий сценарий был предсказуемым.</x:v>
      </x:c>
      <x:c r="F139" s="9" t="str">
        <x:v>Пользователь вошёл; Schedule разрешён; branch/timezone data загружены.</x:v>
      </x:c>
      <x:c r="G139" s="9" t="str">
        <x:v>Открыть Schedule, выбрать view/filter или выполнить lesson action.</x:v>
      </x:c>
      <x:c r="H139" s="9" t="str">
        <x:v>Terminal transition выполняется один раз; settlement/reservation state не дублируется.</x:v>
      </x:c>
      <x:c r="I139" s="9" t="str">
        <x:v>schedule.lesson.write</x:v>
      </x:c>
      <x:c r="J139" s="9" t="str">
        <x:v>Windows, Android</x:v>
      </x:c>
      <x:c r="K139" s="9" t="str">
        <x:v>lib/features/admin/presentation/widgets/schedule_widget.dart; create_lesson_dialog.dart; lib/features/crm/presentation/client_card</x:v>
      </x:c>
      <x:c r="L139" s="9" t="str">
        <x:v>lib/core/services/magic_crm_service_schedule.dart; server/src/crm/crm-schedule.controller.ts; server/src/crm/schedule</x:v>
      </x:c>
      <x:c r="M139" s="9" t="str">
        <x:v>test/features/admin/*schedule*; server/src/crm/schedule/*.spec.ts; docs/audits/v6-client-workspace.md</x:v>
      </x:c>
      <x:c r="N139" s="9" t="str">
        <x:v>CODE-BACKED</x:v>
      </x:c>
      <x:c r="O139" s="9" t="str">
        <x:v>PASS</x:v>
      </x:c>
      <x:c r="P139" s="9" t="str">
        <x:v>Post-fix acceptance passed for Cancel lesson: 1 exact named test(s) matched and passed on build 1.2.3+156.</x:v>
      </x:c>
      <x:c r="Q139" s="9" t="str"/>
      <x:c r="R139" s="9" t="str">
        <x:v>P0</x:v>
      </x:c>
      <x:c r="S139" s="9" t="str">
        <x:v>2026-08-06</x:v>
      </x:c>
      <x:c r="T139" s="9" t="str">
        <x:v>evidence/server-test-json-final-156.json</x:v>
      </x:c>
      <x:c r="U139" s="9" t="str">
        <x:v>Server: server/src/crm/schedule/reschedule-postgres.integration.spec.ts :: Atomic lesson reschedule/cancel (PostgreSQL) keeps source unchanged on conflict/failure and commits one linked transition</x:v>
      </x:c>
    </x:row>
    <x:row r="140">
      <x:c r="A140" s="9" t="str">
        <x:v>SCH-019</x:v>
      </x:c>
      <x:c r="B140" s="9" t="str">
        <x:v>Schedule</x:v>
      </x:c>
      <x:c r="C140" s="9" t="str">
        <x:v>Delete lesson</x:v>
      </x:c>
      <x:c r="D140" s="9" t="str">
        <x:v>разрешённый actor</x:v>
      </x:c>
      <x:c r="E140" s="9" t="str">
        <x:v>Как разрешённый actor, я хочу удалить допустимое занятие, чтобы рабочий сценарий был предсказуемым.</x:v>
      </x:c>
      <x:c r="F140" s="9" t="str">
        <x:v>Пользователь вошёл; Schedule разрешён; branch/timezone data загружены.</x:v>
      </x:c>
      <x:c r="G140" s="9" t="str">
        <x:v>Открыть Schedule, выбрать view/filter или выполнить lesson action.</x:v>
      </x:c>
      <x:c r="H140" s="9" t="str">
        <x:v>Delete доступен только lifecycle/policy-совместимой записи и требует concise confirmation.</x:v>
      </x:c>
      <x:c r="I140" s="9" t="str">
        <x:v>schedule.lesson.write</x:v>
      </x:c>
      <x:c r="J140" s="9" t="str">
        <x:v>Windows, Android</x:v>
      </x:c>
      <x:c r="K140" s="9" t="str">
        <x:v>lib/features/admin/presentation/widgets/schedule_widget.dart; create_lesson_dialog.dart; lib/features/crm/presentation/client_card</x:v>
      </x:c>
      <x:c r="L140" s="9" t="str">
        <x:v>lib/core/services/magic_crm_service_schedule.dart; server/src/crm/crm-schedule.controller.ts; server/src/crm/schedule</x:v>
      </x:c>
      <x:c r="M140" s="9" t="str">
        <x:v>test/features/admin/*schedule*; server/src/crm/schedule/*.spec.ts; docs/audits/v6-client-workspace.md</x:v>
      </x:c>
      <x:c r="N140" s="9" t="str">
        <x:v>CODE-BACKED</x:v>
      </x:c>
      <x:c r="O140" s="9" t="str">
        <x:v>PASS</x:v>
      </x:c>
      <x:c r="P140" s="9" t="str">
        <x:v>Post-fix acceptance passed for Delete lesson: 1 exact named test(s) matched and passed on build 1.2.3+156.</x:v>
      </x:c>
      <x:c r="Q140" s="9" t="str"/>
      <x:c r="R140" s="9" t="str">
        <x:v>P1</x:v>
      </x:c>
      <x:c r="S140" s="9" t="str">
        <x:v>2026-08-06</x:v>
      </x:c>
      <x:c r="T140" s="9" t="str">
        <x:v>evidence/server-test-json-final-156.json</x:v>
      </x:c>
      <x:c r="U140" s="9" t="str">
        <x:v>Server: server/src/crm/schedule.service.spec.ts :: ScheduleService soft-deletes a lesson and clears its reminder markers</x:v>
      </x:c>
    </x:row>
    <x:row r="141">
      <x:c r="A141" s="9" t="str">
        <x:v>SCH-020</x:v>
      </x:c>
      <x:c r="B141" s="9" t="str">
        <x:v>Schedule</x:v>
      </x:c>
      <x:c r="C141" s="9" t="str">
        <x:v>Attendance (derived read-only)</x:v>
      </x:c>
      <x:c r="D141" s="9" t="str">
        <x:v>разрешённый staff/teacher</x:v>
      </x:c>
      <x:c r="E141" s="9" t="str">
        <x:v>Как разрешённый staff/teacher, я хочу видеть факт проведённого занятия, чтобы рабочий сценарий был предсказуемым.</x:v>
      </x:c>
      <x:c r="F141" s="9" t="str">
        <x:v>Пользователь вошёл; Schedule разрешён; branch/timezone data загружены.</x:v>
      </x:c>
      <x:c r="G141" s="9" t="str">
        <x:v>Открыть Schedule, выбрать view/filter или выполнить lesson action.</x:v>
      </x:c>
      <x:c r="H141" s="9" t="str">
        <x:v>Ручной attendance mutation отсутствует; UI показывает только derived count/status из terminal Lesson lifecycle, а manual completion отклоняется.</x:v>
      </x:c>
      <x:c r="I141" s="9" t="str">
        <x:v>lesson read / server lifecycle</x:v>
      </x:c>
      <x:c r="J141" s="9" t="str">
        <x:v>Windows, Android</x:v>
      </x:c>
      <x:c r="K141" s="9" t="str">
        <x:v>lib/features/admin/presentation/widgets/schedule_widget.dart; create_lesson_dialog.dart; lib/features/crm/presentation/client_card</x:v>
      </x:c>
      <x:c r="L141" s="9" t="str">
        <x:v>lib/core/services/magic_crm_service_schedule.dart; server/src/crm/crm-schedule.controller.ts; server/src/crm/schedule</x:v>
      </x:c>
      <x:c r="M141" s="9" t="str">
        <x:v>test/features/admin/*schedule*; server/src/crm/schedule/*.spec.ts; docs/audits/v6-client-workspace.md</x:v>
      </x:c>
      <x:c r="N141" s="9" t="str">
        <x:v>CODE-BACKED</x:v>
      </x:c>
      <x:c r="O141" s="9" t="str">
        <x:v>PASS</x:v>
      </x:c>
      <x:c r="P141" s="9" t="str">
        <x:v>Post-fix acceptance passed for Attendance (derived read-only): 1 exact named test(s) matched and passed on build 1.2.3+156.</x:v>
      </x:c>
      <x:c r="Q141" s="9" t="str"/>
      <x:c r="R141" s="9" t="str">
        <x:v>P0</x:v>
      </x:c>
      <x:c r="S141" s="9" t="str">
        <x:v>2026-08-06</x:v>
      </x:c>
      <x:c r="T141" s="9" t="str">
        <x:v>evidence/server-test-json-final-156.json</x:v>
      </x:c>
      <x:c r="U141" s="9" t="str">
        <x:v>Server: server/src/crm/schedule/no-attendance-mutations.contract.spec.ts :: T4.2.5 no-attendance mutation contract has no attendance API/service/DTO and rejects manual completion input</x:v>
      </x:c>
    </x:row>
    <x:row r="142">
      <x:c r="A142" s="9" t="str">
        <x:v>SCH-021</x:v>
      </x:c>
      <x:c r="B142" s="9" t="str">
        <x:v>Schedule</x:v>
      </x:c>
      <x:c r="C142" s="9" t="str">
        <x:v>Auto completion</x:v>
      </x:c>
      <x:c r="D142" s="9" t="str">
        <x:v>system</x:v>
      </x:c>
      <x:c r="E142" s="9" t="str">
        <x:v>Как system, я хочу автоматически завершать прошедшие занятия, чтобы рабочий сценарий был предсказуемым.</x:v>
      </x:c>
      <x:c r="F142" s="9" t="str">
        <x:v>Пользователь вошёл; Schedule разрешён; branch/timezone data загружены.</x:v>
      </x:c>
      <x:c r="G142" s="9" t="str">
        <x:v>Открыть Schedule, выбрать view/filter или выполнить lesson action.</x:v>
      </x:c>
      <x:c r="H142" s="9" t="str">
        <x:v>Worker переводит eligible Lessons один раз, retries safe, poison/failure observable.</x:v>
      </x:c>
      <x:c r="I142" s="9" t="str">
        <x:v>server worker</x:v>
      </x:c>
      <x:c r="J142" s="9" t="str">
        <x:v>Windows, Android</x:v>
      </x:c>
      <x:c r="K142" s="9" t="str">
        <x:v>lib/features/admin/presentation/widgets/schedule_widget.dart; create_lesson_dialog.dart; lib/features/crm/presentation/client_card</x:v>
      </x:c>
      <x:c r="L142" s="9" t="str">
        <x:v>lib/core/services/magic_crm_service_schedule.dart; server/src/crm/crm-schedule.controller.ts; server/src/crm/schedule</x:v>
      </x:c>
      <x:c r="M142" s="9" t="str">
        <x:v>test/features/admin/*schedule*; server/src/crm/schedule/*.spec.ts; docs/audits/v6-client-workspace.md</x:v>
      </x:c>
      <x:c r="N142" s="9" t="str">
        <x:v>CODE-BACKED</x:v>
      </x:c>
      <x:c r="O142" s="9" t="str">
        <x:v>PASS</x:v>
      </x:c>
      <x:c r="P142" s="9" t="str">
        <x:v>Post-fix acceptance passed for Auto completion: 1 exact named test(s) matched and passed on build 1.2.3+156.</x:v>
      </x:c>
      <x:c r="Q142" s="9" t="str"/>
      <x:c r="R142" s="9" t="str">
        <x:v>P0</x:v>
      </x:c>
      <x:c r="S142" s="9" t="str">
        <x:v>2026-08-06</x:v>
      </x:c>
      <x:c r="T142" s="9" t="str">
        <x:v>evidence/server-test-json-final-156.json</x:v>
      </x:c>
      <x:c r="U142" s="9" t="str">
        <x:v>Server: server/src/crm/schedule/completion-worker-postgres.integration.spec.ts :: Durable Lesson completion worker (PostgreSQL) lets two workers create one terminal state, fact pair, audit and outbox within 60 seconds</x:v>
      </x:c>
    </x:row>
    <x:row r="143">
      <x:c r="A143" s="9" t="str">
        <x:v>SCH-022</x:v>
      </x:c>
      <x:c r="B143" s="9" t="str">
        <x:v>Schedule</x:v>
      </x:c>
      <x:c r="C143" s="9" t="str">
        <x:v>Teacher rate</x:v>
      </x:c>
      <x:c r="D143" s="9" t="str">
        <x:v>разрешённый staff</x:v>
      </x:c>
      <x:c r="E143" s="9" t="str">
        <x:v>Как разрешённый staff, я хочу назначить ставку занятиям, чтобы рабочий сценарий был предсказуемым.</x:v>
      </x:c>
      <x:c r="F143" s="9" t="str">
        <x:v>Пользователь вошёл; Schedule разрешён; branch/timezone data загружены.</x:v>
      </x:c>
      <x:c r="G143" s="9" t="str">
        <x:v>Открыть Schedule, выбрать view/filter или выполнить lesson action.</x:v>
      </x:c>
      <x:c r="H143" s="9" t="str">
        <x:v>Rate mutation применяет scope/version rules и возвращает точное число изменённых Lessons.</x:v>
      </x:c>
      <x:c r="I143" s="9" t="str">
        <x:v>teacher rate capability</x:v>
      </x:c>
      <x:c r="J143" s="9" t="str">
        <x:v>Windows, Android</x:v>
      </x:c>
      <x:c r="K143" s="9" t="str">
        <x:v>lib/features/admin/presentation/widgets/schedule_widget.dart; create_lesson_dialog.dart; lib/features/crm/presentation/client_card</x:v>
      </x:c>
      <x:c r="L143" s="9" t="str">
        <x:v>lib/core/services/magic_crm_service_schedule.dart; server/src/crm/crm-schedule.controller.ts; server/src/crm/schedule</x:v>
      </x:c>
      <x:c r="M143" s="9" t="str">
        <x:v>test/features/admin/*schedule*; server/src/crm/schedule/*.spec.ts; docs/audits/v6-client-workspace.md</x:v>
      </x:c>
      <x:c r="N143" s="9" t="str">
        <x:v>CODE-BACKED</x:v>
      </x:c>
      <x:c r="O143" s="9" t="str">
        <x:v>PASS</x:v>
      </x:c>
      <x:c r="P143" s="9" t="str">
        <x:v>Post-fix acceptance passed for Teacher rate: 1 exact named test(s) matched and passed on build 1.2.3+156.</x:v>
      </x:c>
      <x:c r="Q143" s="9" t="str"/>
      <x:c r="R143" s="9" t="str">
        <x:v>P1</x:v>
      </x:c>
      <x:c r="S143" s="9" t="str">
        <x:v>2026-08-06</x:v>
      </x:c>
      <x:c r="T143" s="9" t="str">
        <x:v>evidence/server-test-json-final-156.json</x:v>
      </x:c>
      <x:c r="U143" s="9" t="str">
        <x:v>Server: server/src/crm/schedule.service.spec.ts :: ScheduleService bulk teacher rate is manager-only — it writes payroll inputs across the schedule</x:v>
      </x:c>
    </x:row>
    <x:row r="144">
      <x:c r="A144" s="9" t="str">
        <x:v>SCH-023</x:v>
      </x:c>
      <x:c r="B144" s="9" t="str">
        <x:v>Schedule</x:v>
      </x:c>
      <x:c r="C144" s="9" t="str">
        <x:v>Series create</x:v>
      </x:c>
      <x:c r="D144" s="9" t="str">
        <x:v>разрешённый staff</x:v>
      </x:c>
      <x:c r="E144" s="9" t="str">
        <x:v>Как разрешённый staff, я хочу создать повторяющуюся серию, чтобы рабочий сценарий был предсказуемым.</x:v>
      </x:c>
      <x:c r="F144" s="9" t="str">
        <x:v>Пользователь вошёл; Schedule разрешён; branch/timezone data загружены.</x:v>
      </x:c>
      <x:c r="G144" s="9" t="str">
        <x:v>Открыть Schedule, выбрать view/filter или выполнить lesson action.</x:v>
      </x:c>
      <x:c r="H144" s="9" t="str">
        <x:v>Правило создаёт bounded future lessons с conflict handling; duplicate generation предотвращена.</x:v>
      </x:c>
      <x:c r="I144" s="9" t="str">
        <x:v>schedule.lesson.write</x:v>
      </x:c>
      <x:c r="J144" s="9" t="str">
        <x:v>Windows, Android</x:v>
      </x:c>
      <x:c r="K144" s="9" t="str">
        <x:v>lib/features/admin/presentation/widgets/schedule_widget.dart; create_lesson_dialog.dart; lib/features/crm/presentation/client_card</x:v>
      </x:c>
      <x:c r="L144" s="9" t="str">
        <x:v>lib/core/services/magic_crm_service_schedule.dart; server/src/crm/crm-schedule.controller.ts; server/src/crm/schedule</x:v>
      </x:c>
      <x:c r="M144" s="9" t="str">
        <x:v>test/features/admin/*schedule*; server/src/crm/schedule/*.spec.ts; docs/audits/v6-client-workspace.md</x:v>
      </x:c>
      <x:c r="N144" s="9" t="str">
        <x:v>CODE-BACKED</x:v>
      </x:c>
      <x:c r="O144" s="9" t="str">
        <x:v>PASS</x:v>
      </x:c>
      <x:c r="P144" s="9" t="str">
        <x:v>Post-fix acceptance passed for Series create: 1 exact named test(s) matched and passed on build 1.2.3+156.</x:v>
      </x:c>
      <x:c r="Q144" s="9" t="str"/>
      <x:c r="R144" s="9" t="str">
        <x:v>P0</x:v>
      </x:c>
      <x:c r="S144" s="9" t="str">
        <x:v>2026-08-06</x:v>
      </x:c>
      <x:c r="T144" s="9" t="str">
        <x:v>evidence/server-test-json-final-156.json</x:v>
      </x:c>
      <x:c r="U144" s="9" t="str">
        <x:v>Server: server/src/crm/schedule/lesson-series-postgres.integration.spec.ts :: Atomic LessonSeries (PostgreSQL) rolls back an Nth conflict and creates a valid DST-aware series fully</x:v>
      </x:c>
    </x:row>
    <x:row r="145">
      <x:c r="A145" s="9" t="str">
        <x:v>SCH-024</x:v>
      </x:c>
      <x:c r="B145" s="9" t="str">
        <x:v>Schedule</x:v>
      </x:c>
      <x:c r="C145" s="9" t="str">
        <x:v>Series update</x:v>
      </x:c>
      <x:c r="D145" s="9" t="str">
        <x:v>разрешённый staff</x:v>
      </x:c>
      <x:c r="E145" s="9" t="str">
        <x:v>Как разрешённый staff, я хочу изменить серию, чтобы рабочий сценарий был предсказуемым.</x:v>
      </x:c>
      <x:c r="F145" s="9" t="str">
        <x:v>Пользователь вошёл; Schedule разрешён; branch/timezone data загружены.</x:v>
      </x:c>
      <x:c r="G145" s="9" t="str">
        <x:v>Открыть Schedule, выбрать view/filter или выполнить lesson action.</x:v>
      </x:c>
      <x:c r="H145" s="9" t="str">
        <x:v>Изменение явно определяет future scope и не переписывает historical terminal lessons.</x:v>
      </x:c>
      <x:c r="I145" s="9" t="str">
        <x:v>schedule.lesson.write</x:v>
      </x:c>
      <x:c r="J145" s="9" t="str">
        <x:v>Windows, Android</x:v>
      </x:c>
      <x:c r="K145" s="9" t="str">
        <x:v>lib/features/admin/presentation/widgets/schedule_widget.dart; create_lesson_dialog.dart; lib/features/crm/presentation/client_card</x:v>
      </x:c>
      <x:c r="L145" s="9" t="str">
        <x:v>lib/core/services/magic_crm_service_schedule.dart; server/src/crm/crm-schedule.controller.ts; server/src/crm/schedule</x:v>
      </x:c>
      <x:c r="M145" s="9" t="str">
        <x:v>test/features/admin/*schedule*; server/src/crm/schedule/*.spec.ts; docs/audits/v6-client-workspace.md</x:v>
      </x:c>
      <x:c r="N145" s="9" t="str">
        <x:v>CODE-BACKED</x:v>
      </x:c>
      <x:c r="O145" s="9" t="str">
        <x:v>PASS</x:v>
      </x:c>
      <x:c r="P145" s="9" t="str">
        <x:v>Post-fix acceptance passed for Series update: 1 exact named test(s) matched and passed on build 1.2.3+156.</x:v>
      </x:c>
      <x:c r="Q145" s="9" t="str"/>
      <x:c r="R145" s="9" t="str">
        <x:v>P0</x:v>
      </x:c>
      <x:c r="S145" s="9" t="str">
        <x:v>2026-08-06</x:v>
      </x:c>
      <x:c r="T145" s="9" t="str">
        <x:v>evidence/server-test-json-final-156.json</x:v>
      </x:c>
      <x:c r="U145" s="9" t="str">
        <x:v>Server: server/src/crm/schedule.service.spec.ts :: ScheduleService applies a series edit, preserves exceptions and explicitly clears a finite end</x:v>
      </x:c>
    </x:row>
    <x:row r="146">
      <x:c r="A146" s="9" t="str">
        <x:v>SCH-025</x:v>
      </x:c>
      <x:c r="B146" s="9" t="str">
        <x:v>Schedule</x:v>
      </x:c>
      <x:c r="C146" s="9" t="str">
        <x:v>Series delete</x:v>
      </x:c>
      <x:c r="D146" s="9" t="str">
        <x:v>разрешённый staff</x:v>
      </x:c>
      <x:c r="E146" s="9" t="str">
        <x:v>Как разрешённый staff, я хочу остановить серию, чтобы рабочий сценарий был предсказуемым.</x:v>
      </x:c>
      <x:c r="F146" s="9" t="str">
        <x:v>Пользователь вошёл; Schedule разрешён; branch/timezone data загружены.</x:v>
      </x:c>
      <x:c r="G146" s="9" t="str">
        <x:v>Открыть Schedule, выбрать view/filter или выполнить lesson action.</x:v>
      </x:c>
      <x:c r="H146" s="9" t="str">
        <x:v>Future generation прекращается; прошлые Lessons/history сохраняются.</x:v>
      </x:c>
      <x:c r="I146" s="9" t="str">
        <x:v>schedule.lesson.write</x:v>
      </x:c>
      <x:c r="J146" s="9" t="str">
        <x:v>Windows, Android</x:v>
      </x:c>
      <x:c r="K146" s="9" t="str">
        <x:v>lib/features/admin/presentation/widgets/schedule_widget.dart; create_lesson_dialog.dart; lib/features/crm/presentation/client_card</x:v>
      </x:c>
      <x:c r="L146" s="9" t="str">
        <x:v>lib/core/services/magic_crm_service_schedule.dart; server/src/crm/crm-schedule.controller.ts; server/src/crm/schedule</x:v>
      </x:c>
      <x:c r="M146" s="9" t="str">
        <x:v>test/features/admin/*schedule*; server/src/crm/schedule/*.spec.ts; docs/audits/v6-client-workspace.md</x:v>
      </x:c>
      <x:c r="N146" s="9" t="str">
        <x:v>CODE-BACKED</x:v>
      </x:c>
      <x:c r="O146" s="9" t="str">
        <x:v>PASS</x:v>
      </x:c>
      <x:c r="P146" s="9" t="str">
        <x:v>Post-fix acceptance passed for Series delete: 1 exact named test(s) matched and passed on build 1.2.3+156.</x:v>
      </x:c>
      <x:c r="Q146" s="9" t="str"/>
      <x:c r="R146" s="9" t="str">
        <x:v>P1</x:v>
      </x:c>
      <x:c r="S146" s="9" t="str">
        <x:v>2026-08-06</x:v>
      </x:c>
      <x:c r="T146" s="9" t="str">
        <x:v>evidence/server-test-json-final-156.json</x:v>
      </x:c>
      <x:c r="U146" s="9" t="str">
        <x:v>Server: server/src/crm/schedule.service.spec.ts :: ScheduleService stops series occurrences by their actual Moscow date, including moved lessons</x:v>
      </x:c>
    </x:row>
    <x:row r="147">
      <x:c r="A147" s="9" t="str">
        <x:v>SCH-026</x:v>
      </x:c>
      <x:c r="B147" s="9" t="str">
        <x:v>Schedule</x:v>
      </x:c>
      <x:c r="C147" s="9" t="str">
        <x:v>Schedule matrix</x:v>
      </x:c>
      <x:c r="D147" s="9" t="str">
        <x:v>schedule reader</x:v>
      </x:c>
      <x:c r="E147" s="9" t="str">
        <x:v>Как schedule reader, я хочу увидеть room/teacher/client matrix, чтобы рабочий сценарий был предсказуемым.</x:v>
      </x:c>
      <x:c r="F147" s="9" t="str">
        <x:v>Пользователь вошёл; Schedule разрешён; branch/timezone data загружены.</x:v>
      </x:c>
      <x:c r="G147" s="9" t="str">
        <x:v>Открыть Schedule, выбрать view/filter или выполнить lesson action.</x:v>
      </x:c>
      <x:c r="H147" s="9" t="str">
        <x:v>Matrix согласована с visible period/scope и выделяет фактические conflicts.</x:v>
      </x:c>
      <x:c r="I147" s="9" t="str">
        <x:v>schedule.lesson.read</x:v>
      </x:c>
      <x:c r="J147" s="9" t="str">
        <x:v>Windows, Android</x:v>
      </x:c>
      <x:c r="K147" s="9" t="str">
        <x:v>lib/features/admin/presentation/widgets/schedule_widget.dart; create_lesson_dialog.dart; lib/features/crm/presentation/client_card</x:v>
      </x:c>
      <x:c r="L147" s="9" t="str">
        <x:v>lib/core/services/magic_crm_service_schedule.dart; server/src/crm/crm-schedule.controller.ts; server/src/crm/schedule</x:v>
      </x:c>
      <x:c r="M147" s="9" t="str">
        <x:v>test/features/admin/*schedule*; server/src/crm/schedule/*.spec.ts; docs/audits/v6-client-workspace.md</x:v>
      </x:c>
      <x:c r="N147" s="9" t="str">
        <x:v>CODE-BACKED</x:v>
      </x:c>
      <x:c r="O147" s="9" t="str">
        <x:v>PASS</x:v>
      </x:c>
      <x:c r="P147" s="9" t="str">
        <x:v>Post-fix acceptance passed for Schedule matrix: 1 exact named test(s) matched and passed on build 1.2.3+156.</x:v>
      </x:c>
      <x:c r="Q147" s="9" t="str"/>
      <x:c r="R147" s="9" t="str">
        <x:v>P1</x:v>
      </x:c>
      <x:c r="S147" s="9" t="str">
        <x:v>2026-08-06</x:v>
      </x:c>
      <x:c r="T147" s="9" t="str">
        <x:v>evidence/server-test-json-final-156.json</x:v>
      </x:c>
      <x:c r="U147" s="9" t="str">
        <x:v>Server: server/src/crm/schedule.service.spec.ts :: ScheduleService returns schedule matrix grouped by room with conflicts</x:v>
      </x:c>
    </x:row>
    <x:row r="148">
      <x:c r="A148" s="9" t="str">
        <x:v>SCH-027</x:v>
      </x:c>
      <x:c r="B148" s="9" t="str">
        <x:v>Schedule</x:v>
      </x:c>
      <x:c r="C148" s="9" t="str">
        <x:v>Month summary</x:v>
      </x:c>
      <x:c r="D148" s="9" t="str">
        <x:v>schedule reader</x:v>
      </x:c>
      <x:c r="E148" s="9" t="str">
        <x:v>Как schedule reader, я хочу быстро увидеть насыщенность месяца, чтобы рабочий сценарий был предсказуемым.</x:v>
      </x:c>
      <x:c r="F148" s="9" t="str">
        <x:v>Пользователь вошёл; Schedule разрешён; branch/timezone data загружены.</x:v>
      </x:c>
      <x:c r="G148" s="9" t="str">
        <x:v>Открыть Schedule, выбрать view/filter или выполнить lesson action.</x:v>
      </x:c>
      <x:c r="H148" s="9" t="str">
        <x:v>Day counts совпадают с drilldown Lessons после тех же filters.</x:v>
      </x:c>
      <x:c r="I148" s="9" t="str">
        <x:v>schedule.lesson.read</x:v>
      </x:c>
      <x:c r="J148" s="9" t="str">
        <x:v>Windows, Android</x:v>
      </x:c>
      <x:c r="K148" s="9" t="str">
        <x:v>lib/features/admin/presentation/widgets/schedule_widget.dart; create_lesson_dialog.dart; lib/features/crm/presentation/client_card</x:v>
      </x:c>
      <x:c r="L148" s="9" t="str">
        <x:v>lib/core/services/magic_crm_service_schedule.dart; server/src/crm/crm-schedule.controller.ts; server/src/crm/schedule</x:v>
      </x:c>
      <x:c r="M148" s="9" t="str">
        <x:v>test/features/admin/*schedule*; server/src/crm/schedule/*.spec.ts; docs/audits/v6-client-workspace.md</x:v>
      </x:c>
      <x:c r="N148" s="9" t="str">
        <x:v>CODE-BACKED</x:v>
      </x:c>
      <x:c r="O148" s="9" t="str">
        <x:v>PASS</x:v>
      </x:c>
      <x:c r="P148" s="9" t="str">
        <x:v>Post-fix acceptance passed for Month summary: 1 exact named test(s) matched and passed on build 1.2.3+156.</x:v>
      </x:c>
      <x:c r="Q148" s="9" t="str"/>
      <x:c r="R148" s="9" t="str">
        <x:v>P1</x:v>
      </x:c>
      <x:c r="S148" s="9" t="str">
        <x:v>2026-08-06</x:v>
      </x:c>
      <x:c r="T148" s="9" t="str">
        <x:v>evidence/flutter-test-machine-final-156.ndjson</x:v>
      </x:c>
      <x:c r="U148" s="9" t="str">
        <x:v>Flutter: test/core/services/magic_crm_service_test.dart :: MagicCrmService maps schedule month summary counts and room ids</x:v>
      </x:c>
    </x:row>
    <x:row r="149">
      <x:c r="A149" s="9" t="str">
        <x:v>SCH-028</x:v>
      </x:c>
      <x:c r="B149" s="9" t="str">
        <x:v>Schedule</x:v>
      </x:c>
      <x:c r="C149" s="9" t="str">
        <x:v>Conflict list</x:v>
      </x:c>
      <x:c r="D149" s="9" t="str">
        <x:v>разрешённый staff</x:v>
      </x:c>
      <x:c r="E149" s="9" t="str">
        <x:v>Как разрешённый staff, я хочу просмотреть текущие конфликты, чтобы рабочий сценарий был предсказуемым.</x:v>
      </x:c>
      <x:c r="F149" s="9" t="str">
        <x:v>Пользователь вошёл; Schedule разрешён; branch/timezone data загружены.</x:v>
      </x:c>
      <x:c r="G149" s="9" t="str">
        <x:v>Открыть Schedule, выбрать view/filter или выполнить lesson action.</x:v>
      </x:c>
      <x:c r="H149" s="9" t="str">
        <x:v>Список содержит объяснимые blockers and typed links к затронутым entities.</x:v>
      </x:c>
      <x:c r="I149" s="9" t="str">
        <x:v>schedule.lesson.read</x:v>
      </x:c>
      <x:c r="J149" s="9" t="str">
        <x:v>Windows, Android</x:v>
      </x:c>
      <x:c r="K149" s="9" t="str">
        <x:v>lib/features/admin/presentation/widgets/schedule_widget.dart; create_lesson_dialog.dart; lib/features/crm/presentation/client_card</x:v>
      </x:c>
      <x:c r="L149" s="9" t="str">
        <x:v>lib/core/services/magic_crm_service_schedule.dart; server/src/crm/crm-schedule.controller.ts; server/src/crm/schedule</x:v>
      </x:c>
      <x:c r="M149" s="9" t="str">
        <x:v>test/features/admin/*schedule*; server/src/crm/schedule/*.spec.ts; docs/audits/v6-client-workspace.md</x:v>
      </x:c>
      <x:c r="N149" s="9" t="str">
        <x:v>CODE-BACKED</x:v>
      </x:c>
      <x:c r="O149" s="9" t="str">
        <x:v>PASS</x:v>
      </x:c>
      <x:c r="P149" s="9" t="str">
        <x:v>Post-fix acceptance passed for Conflict list: 1 exact named test(s) matched and passed on build 1.2.3+156.</x:v>
      </x:c>
      <x:c r="Q149" s="9" t="str"/>
      <x:c r="R149" s="9" t="str">
        <x:v>P1</x:v>
      </x:c>
      <x:c r="S149" s="9" t="str">
        <x:v>2026-08-06</x:v>
      </x:c>
      <x:c r="T149" s="9" t="str">
        <x:v>evidence/server-test-json-final-156.json</x:v>
      </x:c>
      <x:c r="U149" s="9" t="str">
        <x:v>Server: server/src/crm/schedule.service.spec.ts :: ScheduleService schedule conflicts (контракты 1-2, правки №2) GET conflicts is admin+ only and returns the pinned shape</x:v>
      </x:c>
    </x:row>
    <x:row r="150">
      <x:c r="A150" s="9" t="str">
        <x:v>SCH-029</x:v>
      </x:c>
      <x:c r="B150" s="9" t="str">
        <x:v>Schedule</x:v>
      </x:c>
      <x:c r="C150" s="9" t="str">
        <x:v>Client bounded calendar</x:v>
      </x:c>
      <x:c r="D150" s="9" t="str">
        <x:v>staff пользователь</x:v>
      </x:c>
      <x:c r="E150" s="9" t="str">
        <x:v>Как staff пользователь, я хочу видеть клиентские занятия в контексте branch, чтобы рабочий сценарий был предсказуемым.</x:v>
      </x:c>
      <x:c r="F150" s="9" t="str">
        <x:v>Пользователь вошёл; Schedule разрешён; branch/timezone data загружены.</x:v>
      </x:c>
      <x:c r="G150" s="9" t="str">
        <x:v>Открыть Schedule, выбрать view/filter или выполнить lesson action.</x:v>
      </x:c>
      <x:c r="H150" s="9" t="str">
        <x:v>Month/Week/Day viewport bounded; selected-client lessons зелёные, остальные серые, links/back сохраняют context.</x:v>
      </x:c>
      <x:c r="I150" s="9" t="str">
        <x:v>client read + schedule read</x:v>
      </x:c>
      <x:c r="J150" s="9" t="str">
        <x:v>Windows, Android</x:v>
      </x:c>
      <x:c r="K150" s="9" t="str">
        <x:v>lib/features/admin/presentation/widgets/schedule_widget.dart; create_lesson_dialog.dart; lib/features/crm/presentation/client_card</x:v>
      </x:c>
      <x:c r="L150" s="9" t="str">
        <x:v>lib/core/services/magic_crm_service_schedule.dart; server/src/crm/crm-schedule.controller.ts; server/src/crm/schedule</x:v>
      </x:c>
      <x:c r="M150" s="9" t="str">
        <x:v>test/features/admin/*schedule*; server/src/crm/schedule/*.spec.ts; docs/audits/v6-client-workspace.md</x:v>
      </x:c>
      <x:c r="N150" s="9" t="str">
        <x:v>CODE-BACKED</x:v>
      </x:c>
      <x:c r="O150" s="9" t="str">
        <x:v>PASS</x:v>
      </x:c>
      <x:c r="P150" s="9" t="str">
        <x:v>Post-fix acceptance passed for Client bounded calendar: 1 exact named test(s) matched and passed on build 1.2.3+156.</x:v>
      </x:c>
      <x:c r="Q150" s="9" t="str"/>
      <x:c r="R150" s="9" t="str">
        <x:v>P0</x:v>
      </x:c>
      <x:c r="S150" s="9" t="str">
        <x:v>2026-08-06</x:v>
      </x:c>
      <x:c r="T150" s="9" t="str">
        <x:v>evidence/flutter-test-machine-final-156.ndjson</x:v>
      </x:c>
      <x:c r="U150" s="9" t="str">
        <x:v>Flutter: test/features/v4/client_schedule_navigation_test.dart :: schedule opens the month and hides other clients</x:v>
      </x:c>
    </x:row>
    <x:row r="151">
      <x:c r="A151" s="9" t="str">
        <x:v>SCH-030</x:v>
      </x:c>
      <x:c r="B151" s="9" t="str">
        <x:v>Schedule</x:v>
      </x:c>
      <x:c r="C151" s="9" t="str">
        <x:v>Teacher read-only schedule</x:v>
      </x:c>
      <x:c r="D151" s="9" t="str">
        <x:v>teacher</x:v>
      </x:c>
      <x:c r="E151" s="9" t="str">
        <x:v>Как teacher, я хочу видеть назначенные Day/Week Lessons, чтобы рабочий сценарий был предсказуемым.</x:v>
      </x:c>
      <x:c r="F151" s="9" t="str">
        <x:v>Пользователь вошёл; Schedule разрешён; branch/timezone data загружены.</x:v>
      </x:c>
      <x:c r="G151" s="9" t="str">
        <x:v>Открыть Schedule, выбрать view/filter или выполнить lesson action.</x:v>
      </x:c>
      <x:c r="H151" s="9" t="str">
        <x:v>Показываются только assigned Lessons; write controls отсутствуют и hidden requests не отправляются.</x:v>
      </x:c>
      <x:c r="I151" s="9" t="str">
        <x:v>teacher assigned-only</x:v>
      </x:c>
      <x:c r="J151" s="9" t="str">
        <x:v>Windows, Android</x:v>
      </x:c>
      <x:c r="K151" s="9" t="str">
        <x:v>lib/features/admin/presentation/widgets/schedule_widget.dart; create_lesson_dialog.dart; lib/features/crm/presentation/client_card</x:v>
      </x:c>
      <x:c r="L151" s="9" t="str">
        <x:v>lib/core/services/magic_crm_service_schedule.dart; server/src/crm/crm-schedule.controller.ts; server/src/crm/schedule</x:v>
      </x:c>
      <x:c r="M151" s="9" t="str">
        <x:v>test/features/admin/*schedule*; server/src/crm/schedule/*.spec.ts; docs/audits/v6-client-workspace.md</x:v>
      </x:c>
      <x:c r="N151" s="9" t="str">
        <x:v>CODE-BACKED</x:v>
      </x:c>
      <x:c r="O151" s="9" t="str">
        <x:v>PASS</x:v>
      </x:c>
      <x:c r="P151" s="9" t="str">
        <x:v>Post-fix acceptance passed for Teacher read-only schedule: 1 exact named test(s) matched and passed on build 1.2.3+156.</x:v>
      </x:c>
      <x:c r="Q151" s="9" t="str"/>
      <x:c r="R151" s="9" t="str">
        <x:v>P0</x:v>
      </x:c>
      <x:c r="S151" s="9" t="str">
        <x:v>2026-08-06</x:v>
      </x:c>
      <x:c r="T151" s="9" t="str">
        <x:v>evidence/flutter-test-machine-final-156.ndjson</x:v>
      </x:c>
      <x:c r="U151" s="9" t="str">
        <x:v>Flutter: test/features/v4/teacher_schedule_read_only_test.dart :: teacher uses canonical assigned-only Day/Week read-only surface</x:v>
      </x:c>
    </x:row>
    <x:row r="152">
      <x:c r="A152" s="9" t="str">
        <x:v>SCH-031</x:v>
      </x:c>
      <x:c r="B152" s="9" t="str">
        <x:v>Schedule</x:v>
      </x:c>
      <x:c r="C152" s="9" t="str">
        <x:v>Branch hours</x:v>
      </x:c>
      <x:c r="D152" s="9" t="str">
        <x:v>разрешённый config actor</x:v>
      </x:c>
      <x:c r="E152" s="9" t="str">
        <x:v>Как разрешённый config actor, я хочу задать часы и исключения филиала, чтобы рабочий сценарий был предсказуемым.</x:v>
      </x:c>
      <x:c r="F152" s="9" t="str">
        <x:v>Пользователь вошёл; Schedule разрешён; branch/timezone data загружены.</x:v>
      </x:c>
      <x:c r="G152" s="9" t="str">
        <x:v>Открыть Schedule, выбрать view/filter или выполнить lesson action.</x:v>
      </x:c>
      <x:c r="H152" s="9" t="str">
        <x:v>IANA timezone + weekly/exception intervals сохраняются versioned и сразу участвуют в constraint preview.</x:v>
      </x:c>
      <x:c r="I152" s="9" t="str">
        <x:v>schedule configuration</x:v>
      </x:c>
      <x:c r="J152" s="9" t="str">
        <x:v>Windows, Android</x:v>
      </x:c>
      <x:c r="K152" s="9" t="str">
        <x:v>lib/features/admin/presentation/widgets/schedule_widget.dart; create_lesson_dialog.dart; lib/features/crm/presentation/client_card</x:v>
      </x:c>
      <x:c r="L152" s="9" t="str">
        <x:v>lib/core/services/magic_crm_service_schedule.dart; server/src/crm/crm-schedule.controller.ts; server/src/crm/schedule</x:v>
      </x:c>
      <x:c r="M152" s="9" t="str">
        <x:v>test/features/admin/*schedule*; server/src/crm/schedule/*.spec.ts; docs/audits/v6-client-workspace.md</x:v>
      </x:c>
      <x:c r="N152" s="9" t="str">
        <x:v>CODE-BACKED</x:v>
      </x:c>
      <x:c r="O152" s="9" t="str">
        <x:v>PASS</x:v>
      </x:c>
      <x:c r="P152" s="9" t="str">
        <x:v>Post-fix acceptance passed for Branch hours: 1 exact named test(s) matched and passed on build 1.2.3+156.</x:v>
      </x:c>
      <x:c r="Q152" s="9" t="str"/>
      <x:c r="R152" s="9" t="str">
        <x:v>P0</x:v>
      </x:c>
      <x:c r="S152" s="9" t="str">
        <x:v>2026-08-06</x:v>
      </x:c>
      <x:c r="T152" s="9" t="str">
        <x:v>evidence/server-test-json-final-156.json</x:v>
      </x:c>
      <x:c r="U152" s="9" t="str">
        <x:v>Server: server/src/crm/schedule/availability-postgres.integration.spec.ts :: Availability reference data (PostgreSQL) resolves recurring hours, exceptions, multi-branch and DST to UTC</x:v>
      </x:c>
    </x:row>
    <x:row r="153">
      <x:c r="A153" s="9" t="str">
        <x:v>SCH-032</x:v>
      </x:c>
      <x:c r="B153" s="9" t="str">
        <x:v>Schedule</x:v>
      </x:c>
      <x:c r="C153" s="9" t="str">
        <x:v>Teacher branch assignment</x:v>
      </x:c>
      <x:c r="D153" s="9" t="str">
        <x:v>разрешённый config actor</x:v>
      </x:c>
      <x:c r="E153" s="9" t="str">
        <x:v>Как разрешённый config actor, я хочу назначить Teacher филиалам, чтобы рабочий сценарий был предсказуемым.</x:v>
      </x:c>
      <x:c r="F153" s="9" t="str">
        <x:v>Пользователь вошёл; Schedule разрешён; branch/timezone data загружены.</x:v>
      </x:c>
      <x:c r="G153" s="9" t="str">
        <x:v>Открыть Schedule, выбрать view/filter или выполнить lesson action.</x:v>
      </x:c>
      <x:c r="H153" s="9" t="str">
        <x:v>Effective-dated assignments ограничивают schedule read/write; пустой active Teacher выдаёт readiness blocker.</x:v>
      </x:c>
      <x:c r="I153" s="9" t="str">
        <x:v>schedule configuration</x:v>
      </x:c>
      <x:c r="J153" s="9" t="str">
        <x:v>Windows, Android</x:v>
      </x:c>
      <x:c r="K153" s="9" t="str">
        <x:v>lib/features/admin/presentation/widgets/schedule_widget.dart; create_lesson_dialog.dart; lib/features/crm/presentation/client_card</x:v>
      </x:c>
      <x:c r="L153" s="9" t="str">
        <x:v>lib/core/services/magic_crm_service_schedule.dart; server/src/crm/crm-schedule.controller.ts; server/src/crm/schedule</x:v>
      </x:c>
      <x:c r="M153" s="9" t="str">
        <x:v>test/features/admin/*schedule*; server/src/crm/schedule/*.spec.ts; docs/audits/v6-client-workspace.md</x:v>
      </x:c>
      <x:c r="N153" s="9" t="str">
        <x:v>CODE-BACKED</x:v>
      </x:c>
      <x:c r="O153" s="9" t="str">
        <x:v>PASS</x:v>
      </x:c>
      <x:c r="P153" s="9" t="str">
        <x:v>Post-fix acceptance passed for Teacher branch assignment: 1 exact named test(s) matched and passed on build 1.2.3+156.</x:v>
      </x:c>
      <x:c r="Q153" s="9" t="str"/>
      <x:c r="R153" s="9" t="str">
        <x:v>P0</x:v>
      </x:c>
      <x:c r="S153" s="9" t="str">
        <x:v>2026-08-06</x:v>
      </x:c>
      <x:c r="T153" s="9" t="str">
        <x:v>evidence/server-test-json-final-156.json</x:v>
      </x:c>
      <x:c r="U153" s="9" t="str">
        <x:v>Server: server/src/crm/schedule/constraint-engine.spec.ts :: schedule constraint engine rules evaluates hours, positive availability, explicit unavailability and branch assignment</x:v>
      </x:c>
    </x:row>
    <x:row r="154">
      <x:c r="A154" s="9" t="str">
        <x:v>SCH-033</x:v>
      </x:c>
      <x:c r="B154" s="9" t="str">
        <x:v>Schedule</x:v>
      </x:c>
      <x:c r="C154" s="9" t="str">
        <x:v>Teacher availability</x:v>
      </x:c>
      <x:c r="D154" s="9" t="str">
        <x:v>разрешённый config actor</x:v>
      </x:c>
      <x:c r="E154" s="9" t="str">
        <x:v>Как разрешённый config actor, я хочу задать доступность Teacher, чтобы рабочий сценарий был предсказуемым.</x:v>
      </x:c>
      <x:c r="F154" s="9" t="str">
        <x:v>Пользователь вошёл; Schedule разрешён; branch/timezone data загружены.</x:v>
      </x:c>
      <x:c r="G154" s="9" t="str">
        <x:v>Открыть Schedule, выбрать view/filter или выполнить lesson action.</x:v>
      </x:c>
      <x:c r="H154" s="9" t="str">
        <x:v>Recurring/exception rules versioned, timezone-correct и участвуют в conflict engine.</x:v>
      </x:c>
      <x:c r="I154" s="9" t="str">
        <x:v>schedule configuration</x:v>
      </x:c>
      <x:c r="J154" s="9" t="str">
        <x:v>Windows, Android</x:v>
      </x:c>
      <x:c r="K154" s="9" t="str">
        <x:v>lib/features/admin/presentation/widgets/schedule_widget.dart; create_lesson_dialog.dart; lib/features/crm/presentation/client_card</x:v>
      </x:c>
      <x:c r="L154" s="9" t="str">
        <x:v>lib/core/services/magic_crm_service_schedule.dart; server/src/crm/crm-schedule.controller.ts; server/src/crm/schedule</x:v>
      </x:c>
      <x:c r="M154" s="9" t="str">
        <x:v>test/features/admin/*schedule*; server/src/crm/schedule/*.spec.ts; docs/audits/v6-client-workspace.md</x:v>
      </x:c>
      <x:c r="N154" s="9" t="str">
        <x:v>CODE-BACKED</x:v>
      </x:c>
      <x:c r="O154" s="9" t="str">
        <x:v>PASS</x:v>
      </x:c>
      <x:c r="P154" s="9" t="str">
        <x:v>Post-fix acceptance passed for Teacher availability: 1 exact named test(s) matched and passed on build 1.2.3+156.</x:v>
      </x:c>
      <x:c r="Q154" s="9" t="str"/>
      <x:c r="R154" s="9" t="str">
        <x:v>P0</x:v>
      </x:c>
      <x:c r="S154" s="9" t="str">
        <x:v>2026-08-06</x:v>
      </x:c>
      <x:c r="T154" s="9" t="str">
        <x:v>evidence/server-test-json-final-156.json</x:v>
      </x:c>
      <x:c r="U154" s="9" t="str">
        <x:v>Server: server/src/crm/schedule/availability.spec.ts :: schedule availability rules supports recurring, bounded interval and indefinite unavailability</x:v>
      </x:c>
    </x:row>
    <x:row r="155">
      <x:c r="A155" s="9" t="str">
        <x:v>SCH-034</x:v>
      </x:c>
      <x:c r="B155" s="9" t="str">
        <x:v>Schedule</x:v>
      </x:c>
      <x:c r="C155" s="9" t="str">
        <x:v>Room availability</x:v>
      </x:c>
      <x:c r="D155" s="9" t="str">
        <x:v>schedule writer</x:v>
      </x:c>
      <x:c r="E155" s="9" t="str">
        <x:v>Как schedule writer, я хочу выбрать свободную аудиторию, чтобы рабочий сценарий был предсказуемым.</x:v>
      </x:c>
      <x:c r="F155" s="9" t="str">
        <x:v>Пользователь вошёл; Schedule разрешён; branch/timezone data загружены.</x:v>
      </x:c>
      <x:c r="G155" s="9" t="str">
        <x:v>Открыть Schedule, выбрать view/filter или выполнить lesson action.</x:v>
      </x:c>
      <x:c r="H155" s="9" t="str">
        <x:v>Selector показывает доступные Rooms выбранного Branch/interval и server всё равно revalidates.</x:v>
      </x:c>
      <x:c r="I155" s="9" t="str">
        <x:v>schedule.lesson.write</x:v>
      </x:c>
      <x:c r="J155" s="9" t="str">
        <x:v>Windows, Android</x:v>
      </x:c>
      <x:c r="K155" s="9" t="str">
        <x:v>lib/features/admin/presentation/widgets/schedule_widget.dart; create_lesson_dialog.dart; lib/features/crm/presentation/client_card</x:v>
      </x:c>
      <x:c r="L155" s="9" t="str">
        <x:v>lib/core/services/magic_crm_service_schedule.dart; server/src/crm/crm-schedule.controller.ts; server/src/crm/schedule</x:v>
      </x:c>
      <x:c r="M155" s="9" t="str">
        <x:v>test/features/admin/*schedule*; server/src/crm/schedule/*.spec.ts; docs/audits/v6-client-workspace.md</x:v>
      </x:c>
      <x:c r="N155" s="9" t="str">
        <x:v>CODE-BACKED</x:v>
      </x:c>
      <x:c r="O155" s="9" t="str">
        <x:v>PASS</x:v>
      </x:c>
      <x:c r="P155" s="9" t="str">
        <x:v>Post-fix acceptance passed for Room availability: 1 exact named test(s) matched and passed on build 1.2.3+156.</x:v>
      </x:c>
      <x:c r="Q155" s="9" t="str"/>
      <x:c r="R155" s="9" t="str">
        <x:v>P0</x:v>
      </x:c>
      <x:c r="S155" s="9" t="str">
        <x:v>2026-08-06</x:v>
      </x:c>
      <x:c r="T155" s="9" t="str">
        <x:v>evidence/server-test-json-final-156.json</x:v>
      </x:c>
      <x:c r="U155" s="9" t="str">
        <x:v>Server: server/src/crm/rooms.service.spec.ts :: RoomsService returns room availability with slot conflicts</x:v>
      </x:c>
    </x:row>
    <x:row r="156">
      <x:c r="A156" s="9" t="str">
        <x:v>COM-001</x:v>
      </x:c>
      <x:c r="B156" s="9" t="str">
        <x:v>Commerce</x:v>
      </x:c>
      <x:c r="C156" s="9" t="str">
        <x:v>Package catalog read</x:v>
      </x:c>
      <x:c r="D156" s="9" t="str">
        <x:v>разрешённый staff</x:v>
      </x:c>
      <x:c r="E156" s="9" t="str">
        <x:v>Как разрешённый staff, я хочу просмотреть каталог абонементов, чтобы рабочий сценарий был предсказуемым.</x:v>
      </x:c>
      <x:c r="F156" s="9" t="str">
        <x:v>Пользователь вошёл; client/package/finance scope разрешён.</x:v>
      </x:c>
      <x:c r="G156" s="9" t="str">
        <x:v>Открыть Payments/Subscription/Finance/Settings catalog и выполнить действие.</x:v>
      </x:c>
      <x:c r="H156" s="9" t="str">
        <x:v>Показываются active offers с price/units/duration/terms без изменения issued snapshots.</x:v>
      </x:c>
      <x:c r="I156" s="9" t="str">
        <x:v>commerce.package.read</x:v>
      </x:c>
      <x:c r="J156" s="9" t="str">
        <x:v>Windows, Android</x:v>
      </x:c>
      <x:c r="K156" s="9" t="str">
        <x:v>lib/features/crm/presentation/client_card; lib/features/manager/presentation/widgets/finance_widget.dart; manage_entities_widget.dart</x:v>
      </x:c>
      <x:c r="L156" s="9" t="str">
        <x:v>lib/core/services/magic_crm_service_finance.dart; server/src/crm/commerce; server/src/crm/crm-finance.controller.ts</x:v>
      </x:c>
      <x:c r="M156" s="9" t="str">
        <x:v>test/features/crm/*commerce*; server/src/crm/commerce/*.spec.ts</x:v>
      </x:c>
      <x:c r="N156" s="9" t="str">
        <x:v>CODE-BACKED</x:v>
      </x:c>
      <x:c r="O156" s="9" t="str">
        <x:v>PASS</x:v>
      </x:c>
      <x:c r="P156" s="9" t="str">
        <x:v>Post-fix acceptance passed for Package catalog read: 1 exact named test(s) matched and passed on build 1.2.3+156.</x:v>
      </x:c>
      <x:c r="Q156" s="9" t="str"/>
      <x:c r="R156" s="9" t="str">
        <x:v>P1</x:v>
      </x:c>
      <x:c r="S156" s="9" t="str">
        <x:v>2026-08-06</x:v>
      </x:c>
      <x:c r="T156" s="9" t="str">
        <x:v>evidence/server-test-json-final-156.json</x:v>
      </x:c>
      <x:c r="U156" s="9" t="str">
        <x:v>Server: server/src/crm/commerce/package-catalog.integration.spec.ts :: Subscription Package catalog (PostgreSQL) enforces the six-role read/mutate matrix</x:v>
      </x:c>
    </x:row>
    <x:row r="157">
      <x:c r="A157" s="9" t="str">
        <x:v>COM-002</x:v>
      </x:c>
      <x:c r="B157" s="9" t="str">
        <x:v>Commerce</x:v>
      </x:c>
      <x:c r="C157" s="9" t="str">
        <x:v>Create package</x:v>
      </x:c>
      <x:c r="D157" s="9" t="str">
        <x:v>директор/system admin</x:v>
      </x:c>
      <x:c r="E157" s="9" t="str">
        <x:v>Как директор/system admin, я хочу создать пакет, чтобы рабочий сценарий был предсказуемым.</x:v>
      </x:c>
      <x:c r="F157" s="9" t="str">
        <x:v>Пользователь вошёл; client/package/finance scope разрешён.</x:v>
      </x:c>
      <x:c r="G157" s="9" t="str">
        <x:v>Открыть Payments/Subscription/Finance/Settings catalog и выполнить действие.</x:v>
      </x:c>
      <x:c r="H157" s="9" t="str">
        <x:v>Валидное offer сохраняется один раз и становится доступно для новых выдач.</x:v>
      </x:c>
      <x:c r="I157" s="9" t="str">
        <x:v>commerce.package.manage</x:v>
      </x:c>
      <x:c r="J157" s="9" t="str">
        <x:v>Windows, Android</x:v>
      </x:c>
      <x:c r="K157" s="9" t="str">
        <x:v>lib/features/crm/presentation/client_card; lib/features/manager/presentation/widgets/finance_widget.dart; manage_entities_widget.dart</x:v>
      </x:c>
      <x:c r="L157" s="9" t="str">
        <x:v>lib/core/services/magic_crm_service_finance.dart; server/src/crm/commerce; server/src/crm/crm-finance.controller.ts</x:v>
      </x:c>
      <x:c r="M157" s="9" t="str">
        <x:v>test/features/crm/*commerce*; server/src/crm/commerce/*.spec.ts</x:v>
      </x:c>
      <x:c r="N157" s="9" t="str">
        <x:v>CODE-BACKED</x:v>
      </x:c>
      <x:c r="O157" s="9" t="str">
        <x:v>PASS</x:v>
      </x:c>
      <x:c r="P157" s="9" t="str">
        <x:v>Post-fix acceptance passed for Create package: 1 exact named test(s) matched and passed on build 1.2.3+156.</x:v>
      </x:c>
      <x:c r="Q157" s="9" t="str"/>
      <x:c r="R157" s="9" t="str">
        <x:v>P0</x:v>
      </x:c>
      <x:c r="S157" s="9" t="str">
        <x:v>2026-08-06</x:v>
      </x:c>
      <x:c r="T157" s="9" t="str">
        <x:v>evidence/server-test-json-final-156.json</x:v>
      </x:c>
      <x:c r="U157" s="9" t="str">
        <x:v>Server: server/src/crm/commerce/package-catalog.integration.spec.ts :: Subscription Package catalog (PostgreSQL) allows one concurrent writer and keeps audit/outbox/version in sync</x:v>
      </x:c>
    </x:row>
    <x:row r="158">
      <x:c r="A158" s="9" t="str">
        <x:v>COM-003</x:v>
      </x:c>
      <x:c r="B158" s="9" t="str">
        <x:v>Commerce</x:v>
      </x:c>
      <x:c r="C158" s="9" t="str">
        <x:v>Edit package</x:v>
      </x:c>
      <x:c r="D158" s="9" t="str">
        <x:v>директор/system admin</x:v>
      </x:c>
      <x:c r="E158" s="9" t="str">
        <x:v>Как директор/system admin, я хочу изменить будущие условия, чтобы рабочий сценарий был предсказуемым.</x:v>
      </x:c>
      <x:c r="F158" s="9" t="str">
        <x:v>Пользователь вошёл; client/package/finance scope разрешён.</x:v>
      </x:c>
      <x:c r="G158" s="9" t="str">
        <x:v>Открыть Payments/Subscription/Finance/Settings catalog и выполнить действие.</x:v>
      </x:c>
      <x:c r="H158" s="9" t="str">
        <x:v>Изменения влияют только на новые issuance; существующие snapshots неизменны.</x:v>
      </x:c>
      <x:c r="I158" s="9" t="str">
        <x:v>commerce.package.manage</x:v>
      </x:c>
      <x:c r="J158" s="9" t="str">
        <x:v>Windows, Android</x:v>
      </x:c>
      <x:c r="K158" s="9" t="str">
        <x:v>lib/features/crm/presentation/client_card; lib/features/manager/presentation/widgets/finance_widget.dart; manage_entities_widget.dart</x:v>
      </x:c>
      <x:c r="L158" s="9" t="str">
        <x:v>lib/core/services/magic_crm_service_finance.dart; server/src/crm/commerce; server/src/crm/crm-finance.controller.ts</x:v>
      </x:c>
      <x:c r="M158" s="9" t="str">
        <x:v>test/features/crm/*commerce*; server/src/crm/commerce/*.spec.ts</x:v>
      </x:c>
      <x:c r="N158" s="9" t="str">
        <x:v>CODE-BACKED</x:v>
      </x:c>
      <x:c r="O158" s="9" t="str">
        <x:v>PASS</x:v>
      </x:c>
      <x:c r="P158" s="9" t="str">
        <x:v>Post-fix acceptance passed for Edit package: 1 exact named test(s) matched and passed on build 1.2.3+156.</x:v>
      </x:c>
      <x:c r="Q158" s="9" t="str"/>
      <x:c r="R158" s="9" t="str">
        <x:v>P0</x:v>
      </x:c>
      <x:c r="S158" s="9" t="str">
        <x:v>2026-08-06</x:v>
      </x:c>
      <x:c r="T158" s="9" t="str">
        <x:v>evidence/server-test-json-final-156.json</x:v>
      </x:c>
      <x:c r="U158" s="9" t="str">
        <x:v>Server: server/src/crm/commerce/package-catalog.integration.spec.ts :: Subscription Package catalog (PostgreSQL) issues immutable snapshots before and after catalog update, then archives a used package</x:v>
      </x:c>
    </x:row>
    <x:row r="159">
      <x:c r="A159" s="9" t="str">
        <x:v>COM-004</x:v>
      </x:c>
      <x:c r="B159" s="9" t="str">
        <x:v>Commerce</x:v>
      </x:c>
      <x:c r="C159" s="9" t="str">
        <x:v>Archive package</x:v>
      </x:c>
      <x:c r="D159" s="9" t="str">
        <x:v>директор/system admin</x:v>
      </x:c>
      <x:c r="E159" s="9" t="str">
        <x:v>Как директор/system admin, я хочу скрыть устаревший пакет, чтобы рабочий сценарий был предсказуемым.</x:v>
      </x:c>
      <x:c r="F159" s="9" t="str">
        <x:v>Пользователь вошёл; client/package/finance scope разрешён.</x:v>
      </x:c>
      <x:c r="G159" s="9" t="str">
        <x:v>Открыть Payments/Subscription/Finance/Settings catalog и выполнить действие.</x:v>
      </x:c>
      <x:c r="H159" s="9" t="str">
        <x:v>Active issuance больше не предлагает пакет; historical subscriptions сохраняют snapshot.</x:v>
      </x:c>
      <x:c r="I159" s="9" t="str">
        <x:v>commerce.package.manage</x:v>
      </x:c>
      <x:c r="J159" s="9" t="str">
        <x:v>Windows, Android</x:v>
      </x:c>
      <x:c r="K159" s="9" t="str">
        <x:v>lib/features/crm/presentation/client_card; lib/features/manager/presentation/widgets/finance_widget.dart; manage_entities_widget.dart</x:v>
      </x:c>
      <x:c r="L159" s="9" t="str">
        <x:v>lib/core/services/magic_crm_service_finance.dart; server/src/crm/commerce; server/src/crm/crm-finance.controller.ts</x:v>
      </x:c>
      <x:c r="M159" s="9" t="str">
        <x:v>test/features/crm/*commerce*; server/src/crm/commerce/*.spec.ts</x:v>
      </x:c>
      <x:c r="N159" s="9" t="str">
        <x:v>CODE-BACKED</x:v>
      </x:c>
      <x:c r="O159" s="9" t="str">
        <x:v>PASS</x:v>
      </x:c>
      <x:c r="P159" s="9" t="str">
        <x:v>Post-fix acceptance passed for Archive package: 1 exact named test(s) matched and passed on build 1.2.3+156.</x:v>
      </x:c>
      <x:c r="Q159" s="9" t="str"/>
      <x:c r="R159" s="9" t="str">
        <x:v>P0</x:v>
      </x:c>
      <x:c r="S159" s="9" t="str">
        <x:v>2026-08-06</x:v>
      </x:c>
      <x:c r="T159" s="9" t="str">
        <x:v>evidence/server-test-json-final-156.json</x:v>
      </x:c>
      <x:c r="U159" s="9" t="str">
        <x:v>Server: server/src/crm/commerce/package-catalog.integration.spec.ts :: Subscription Package catalog (PostgreSQL) keeps archived rows root-visible and restores the same versioned row</x:v>
      </x:c>
    </x:row>
    <x:row r="160">
      <x:c r="A160" s="9" t="str">
        <x:v>COM-005</x:v>
      </x:c>
      <x:c r="B160" s="9" t="str">
        <x:v>Commerce</x:v>
      </x:c>
      <x:c r="C160" s="9" t="str">
        <x:v>Restore package</x:v>
      </x:c>
      <x:c r="D160" s="9" t="str">
        <x:v>директор/system admin</x:v>
      </x:c>
      <x:c r="E160" s="9" t="str">
        <x:v>Как директор/system admin, я хочу вернуть пакет, чтобы рабочий сценарий был предсказуемым.</x:v>
      </x:c>
      <x:c r="F160" s="9" t="str">
        <x:v>Пользователь вошёл; client/package/finance scope разрешён.</x:v>
      </x:c>
      <x:c r="G160" s="9" t="str">
        <x:v>Открыть Payments/Subscription/Finance/Settings catalog и выполнить действие.</x:v>
      </x:c>
      <x:c r="H160" s="9" t="str">
        <x:v>Archived offer снова становится доступно без создания duplicate id.</x:v>
      </x:c>
      <x:c r="I160" s="9" t="str">
        <x:v>commerce.package.manage</x:v>
      </x:c>
      <x:c r="J160" s="9" t="str">
        <x:v>Windows, Android</x:v>
      </x:c>
      <x:c r="K160" s="9" t="str">
        <x:v>lib/features/crm/presentation/client_card; lib/features/manager/presentation/widgets/finance_widget.dart; manage_entities_widget.dart</x:v>
      </x:c>
      <x:c r="L160" s="9" t="str">
        <x:v>lib/core/services/magic_crm_service_finance.dart; server/src/crm/commerce; server/src/crm/crm-finance.controller.ts</x:v>
      </x:c>
      <x:c r="M160" s="9" t="str">
        <x:v>test/features/crm/*commerce*; server/src/crm/commerce/*.spec.ts</x:v>
      </x:c>
      <x:c r="N160" s="9" t="str">
        <x:v>CODE-BACKED</x:v>
      </x:c>
      <x:c r="O160" s="9" t="str">
        <x:v>PASS</x:v>
      </x:c>
      <x:c r="P160" s="9" t="str">
        <x:v>Post-fix acceptance passed for Restore package: 1 exact named test(s) matched and passed on build 1.2.3+156.</x:v>
      </x:c>
      <x:c r="Q160" s="9" t="str"/>
      <x:c r="R160" s="9" t="str">
        <x:v>P1</x:v>
      </x:c>
      <x:c r="S160" s="9" t="str">
        <x:v>2026-08-06</x:v>
      </x:c>
      <x:c r="T160" s="9" t="str">
        <x:v>evidence/server-test-json-final-156.json</x:v>
      </x:c>
      <x:c r="U160" s="9" t="str">
        <x:v>Server: server/src/crm/commerce/package-catalog.integration.spec.ts :: Subscription Package catalog (PostgreSQL) keeps archived rows root-visible and restores the same versioned row</x:v>
      </x:c>
    </x:row>
    <x:row r="161">
      <x:c r="A161" s="9" t="str">
        <x:v>COM-006</x:v>
      </x:c>
      <x:c r="B161" s="9" t="str">
        <x:v>Commerce</x:v>
      </x:c>
      <x:c r="C161" s="9" t="str">
        <x:v>Issue Student subscription</x:v>
      </x:c>
      <x:c r="D161" s="9" t="str">
        <x:v>разрешённый staff</x:v>
      </x:c>
      <x:c r="E161" s="9" t="str">
        <x:v>Как разрешённый staff, я хочу выдать Student абонемент, чтобы рабочий сценарий был предсказуемым.</x:v>
      </x:c>
      <x:c r="F161" s="9" t="str">
        <x:v>Пользователь вошёл; client/package/finance scope разрешён.</x:v>
      </x:c>
      <x:c r="G161" s="9" t="str">
        <x:v>Открыть Payments/Subscription/Finance/Settings catalog и выполнить действие.</x:v>
      </x:c>
      <x:c r="H161" s="9" t="str">
        <x:v>Preview/token and submit фиксируют immutable package/commercial snapshot, units and version.</x:v>
      </x:c>
      <x:c r="I161" s="9" t="str">
        <x:v>student finance write</x:v>
      </x:c>
      <x:c r="J161" s="9" t="str">
        <x:v>Windows, Android</x:v>
      </x:c>
      <x:c r="K161" s="9" t="str">
        <x:v>lib/features/crm/presentation/client_card; lib/features/manager/presentation/widgets/finance_widget.dart; manage_entities_widget.dart</x:v>
      </x:c>
      <x:c r="L161" s="9" t="str">
        <x:v>lib/core/services/magic_crm_service_finance.dart; server/src/crm/commerce; server/src/crm/crm-finance.controller.ts</x:v>
      </x:c>
      <x:c r="M161" s="9" t="str">
        <x:v>test/features/crm/*commerce*; server/src/crm/commerce/*.spec.ts</x:v>
      </x:c>
      <x:c r="N161" s="9" t="str">
        <x:v>CODE-BACKED</x:v>
      </x:c>
      <x:c r="O161" s="9" t="str">
        <x:v>PASS</x:v>
      </x:c>
      <x:c r="P161" s="9" t="str">
        <x:v>Post-fix acceptance passed for Issue Student subscription: 1 exact named test(s) matched and passed on build 1.2.3+156.</x:v>
      </x:c>
      <x:c r="Q161" s="9" t="str"/>
      <x:c r="R161" s="9" t="str">
        <x:v>P0</x:v>
      </x:c>
      <x:c r="S161" s="9" t="str">
        <x:v>2026-08-06</x:v>
      </x:c>
      <x:c r="T161" s="9" t="str">
        <x:v>evidence/server-test-json-final-156.json</x:v>
      </x:c>
      <x:c r="U161" s="9" t="str">
        <x:v>Server: server/src/crm/commerce/subscription-issue-postgres.integration.spec.ts :: Subscription issue, discount, installments and ActualPayment issues 8000 - 20% = 6400 with exact installments and no revenue</x:v>
      </x:c>
    </x:row>
    <x:row r="162">
      <x:c r="A162" s="9" t="str">
        <x:v>COM-007</x:v>
      </x:c>
      <x:c r="B162" s="9" t="str">
        <x:v>Commerce</x:v>
      </x:c>
      <x:c r="C162" s="9" t="str">
        <x:v>Issue Lead subscription</x:v>
      </x:c>
      <x:c r="D162" s="9" t="str">
        <x:v>разрешённый staff</x:v>
      </x:c>
      <x:c r="E162" s="9" t="str">
        <x:v>Как разрешённый staff, я хочу оформить абонемент Lead, чтобы рабочий сценарий был предсказуемым.</x:v>
      </x:c>
      <x:c r="F162" s="9" t="str">
        <x:v>Пользователь вошёл; client/package/finance scope разрешён.</x:v>
      </x:c>
      <x:c r="G162" s="9" t="str">
        <x:v>Открыть Payments/Subscription/Finance/Settings catalog и выполнить действие.</x:v>
      </x:c>
      <x:c r="H162" s="9" t="str">
        <x:v>Issuance использует explicit Lead identity and conversion link rules без подмены Student.</x:v>
      </x:c>
      <x:c r="I162" s="9" t="str">
        <x:v>client finance write</x:v>
      </x:c>
      <x:c r="J162" s="9" t="str">
        <x:v>Windows, Android</x:v>
      </x:c>
      <x:c r="K162" s="9" t="str">
        <x:v>lib/features/crm/presentation/client_card; lib/features/manager/presentation/widgets/finance_widget.dart; manage_entities_widget.dart</x:v>
      </x:c>
      <x:c r="L162" s="9" t="str">
        <x:v>lib/core/services/magic_crm_service_finance.dart; server/src/crm/commerce; server/src/crm/crm-finance.controller.ts</x:v>
      </x:c>
      <x:c r="M162" s="9" t="str">
        <x:v>test/features/crm/*commerce*; server/src/crm/commerce/*.spec.ts</x:v>
      </x:c>
      <x:c r="N162" s="9" t="str">
        <x:v>CODE-BACKED</x:v>
      </x:c>
      <x:c r="O162" s="9" t="str">
        <x:v>PASS</x:v>
      </x:c>
      <x:c r="P162" s="9" t="str">
        <x:v>Post-fix acceptance passed for Issue Lead subscription: 1 exact named test(s) matched and passed on build 1.2.3+156.</x:v>
      </x:c>
      <x:c r="Q162" s="9" t="str"/>
      <x:c r="R162" s="9" t="str">
        <x:v>P1</x:v>
      </x:c>
      <x:c r="S162" s="9" t="str">
        <x:v>2026-08-06</x:v>
      </x:c>
      <x:c r="T162" s="9" t="str">
        <x:v>evidence/server-test-json-final-156.json</x:v>
      </x:c>
      <x:c r="U162" s="9" t="str">
        <x:v>Server: server/src/crm/crm-leads.controller.spec.ts :: CrmLeadsController delegates the additive lead subscription issue contract</x:v>
      </x:c>
    </x:row>
    <x:row r="163">
      <x:c r="A163" s="9" t="str">
        <x:v>COM-008</x:v>
      </x:c>
      <x:c r="B163" s="9" t="str">
        <x:v>Commerce</x:v>
      </x:c>
      <x:c r="C163" s="9" t="str">
        <x:v>Commercial terms</x:v>
      </x:c>
      <x:c r="D163" s="9" t="str">
        <x:v>разрешённый staff</x:v>
      </x:c>
      <x:c r="E163" s="9" t="str">
        <x:v>Как разрешённый staff, я хочу задать скидку/надбавку/рассрочку/метод, чтобы рабочий сценарий был предсказуемым.</x:v>
      </x:c>
      <x:c r="F163" s="9" t="str">
        <x:v>Пользователь вошёл; client/package/finance scope разрешён.</x:v>
      </x:c>
      <x:c r="G163" s="9" t="str">
        <x:v>Открыть Payments/Subscription/Finance/Settings catalog и выполнить действие.</x:v>
      </x:c>
      <x:c r="H163" s="9" t="str">
        <x:v>UI валидирует terms; итоговая сумма и installments сохраняются в immutable snapshot.</x:v>
      </x:c>
      <x:c r="I163" s="9" t="str">
        <x:v>client finance write</x:v>
      </x:c>
      <x:c r="J163" s="9" t="str">
        <x:v>Windows, Android</x:v>
      </x:c>
      <x:c r="K163" s="9" t="str">
        <x:v>lib/features/crm/presentation/client_card; lib/features/manager/presentation/widgets/finance_widget.dart; manage_entities_widget.dart</x:v>
      </x:c>
      <x:c r="L163" s="9" t="str">
        <x:v>lib/core/services/magic_crm_service_finance.dart; server/src/crm/commerce; server/src/crm/crm-finance.controller.ts</x:v>
      </x:c>
      <x:c r="M163" s="9" t="str">
        <x:v>test/features/crm/*commerce*; server/src/crm/commerce/*.spec.ts</x:v>
      </x:c>
      <x:c r="N163" s="9" t="str">
        <x:v>CODE-BACKED</x:v>
      </x:c>
      <x:c r="O163" s="9" t="str">
        <x:v>PASS</x:v>
      </x:c>
      <x:c r="P163" s="9" t="str">
        <x:v>Post-fix acceptance passed for Commercial terms: 1 exact named test(s) matched and passed on build 1.2.3+156.</x:v>
      </x:c>
      <x:c r="Q163" s="9" t="str"/>
      <x:c r="R163" s="9" t="str">
        <x:v>P0</x:v>
      </x:c>
      <x:c r="S163" s="9" t="str">
        <x:v>2026-08-06</x:v>
      </x:c>
      <x:c r="T163" s="9" t="str">
        <x:v>evidence/server-test-json-final-156.json</x:v>
      </x:c>
      <x:c r="U163" s="9" t="str">
        <x:v>Server: server/src/crm/commerce/subscription-issue-postgres.integration.spec.ts :: Subscription issue, discount, installments and ActualPayment rejects invalid commercial terms atomically</x:v>
      </x:c>
    </x:row>
    <x:row r="164">
      <x:c r="A164" s="9" t="str">
        <x:v>COM-009</x:v>
      </x:c>
      <x:c r="B164" s="9" t="str">
        <x:v>Commerce</x:v>
      </x:c>
      <x:c r="C164" s="9" t="str">
        <x:v>Record payment</x:v>
      </x:c>
      <x:c r="D164" s="9" t="str">
        <x:v>разрешённый staff</x:v>
      </x:c>
      <x:c r="E164" s="9" t="str">
        <x:v>Как разрешённый staff, я хочу зафиксировать платёж, чтобы рабочий сценарий был предсказуемым.</x:v>
      </x:c>
      <x:c r="F164" s="9" t="str">
        <x:v>Пользователь вошёл; client/package/finance scope разрешён.</x:v>
      </x:c>
      <x:c r="G164" s="9" t="str">
        <x:v>Открыть Payments/Subscription/Finance/Settings catalog и выполнить действие.</x:v>
      </x:c>
      <x:c r="H164" s="9" t="str">
        <x:v>Amount/method/date/branch/status/reference валидируются; создаётся один immutable Payment.</x:v>
      </x:c>
      <x:c r="I164" s="9" t="str">
        <x:v>client finance write</x:v>
      </x:c>
      <x:c r="J164" s="9" t="str">
        <x:v>Windows, Android</x:v>
      </x:c>
      <x:c r="K164" s="9" t="str">
        <x:v>lib/features/crm/presentation/client_card; lib/features/manager/presentation/widgets/finance_widget.dart; manage_entities_widget.dart</x:v>
      </x:c>
      <x:c r="L164" s="9" t="str">
        <x:v>lib/core/services/magic_crm_service_finance.dart; server/src/crm/commerce; server/src/crm/crm-finance.controller.ts</x:v>
      </x:c>
      <x:c r="M164" s="9" t="str">
        <x:v>test/features/crm/*commerce*; server/src/crm/commerce/*.spec.ts</x:v>
      </x:c>
      <x:c r="N164" s="9" t="str">
        <x:v>CODE-BACKED</x:v>
      </x:c>
      <x:c r="O164" s="9" t="str">
        <x:v>PASS</x:v>
      </x:c>
      <x:c r="P164" s="9" t="str">
        <x:v>Post-fix acceptance passed for Record payment: 1 exact named test(s) matched and passed on build 1.2.3+156.</x:v>
      </x:c>
      <x:c r="Q164" s="9" t="str"/>
      <x:c r="R164" s="9" t="str">
        <x:v>P0</x:v>
      </x:c>
      <x:c r="S164" s="9" t="str">
        <x:v>2026-08-06</x:v>
      </x:c>
      <x:c r="T164" s="9" t="str">
        <x:v>evidence/flutter-test-machine-final-156.ndjson</x:v>
      </x:c>
      <x:c r="U164" s="9" t="str">
        <x:v>Flutter: test/features/v6/client_payments_tab_test.dart :: manager records a branch-scoped immutable payment from the tab</x:v>
      </x:c>
    </x:row>
    <x:row r="165">
      <x:c r="A165" s="9" t="str">
        <x:v>COM-010</x:v>
      </x:c>
      <x:c r="B165" s="9" t="str">
        <x:v>Commerce</x:v>
      </x:c>
      <x:c r="C165" s="9" t="str">
        <x:v>Client commerce self view</x:v>
      </x:c>
      <x:c r="D165" s="9" t="str">
        <x:v>клиент</x:v>
      </x:c>
      <x:c r="E165" s="9" t="str">
        <x:v>Как клиент, я хочу видеть свой абонемент и оплаты, чтобы рабочий сценарий был предсказуемым.</x:v>
      </x:c>
      <x:c r="F165" s="9" t="str">
        <x:v>Пользователь вошёл; client/package/finance scope разрешён.</x:v>
      </x:c>
      <x:c r="G165" s="9" t="str">
        <x:v>Открыть Payments/Subscription/Finance/Settings catalog и выполнить действие.</x:v>
      </x:c>
      <x:c r="H165" s="9" t="str">
        <x:v>Projection содержит только self subscription/payment/balance data и обновляется после invalidation.</x:v>
      </x:c>
      <x:c r="I165" s="9" t="str">
        <x:v>client self</x:v>
      </x:c>
      <x:c r="J165" s="9" t="str">
        <x:v>Windows, Android</x:v>
      </x:c>
      <x:c r="K165" s="9" t="str">
        <x:v>lib/features/crm/presentation/client_card; lib/features/manager/presentation/widgets/finance_widget.dart; manage_entities_widget.dart</x:v>
      </x:c>
      <x:c r="L165" s="9" t="str">
        <x:v>lib/core/services/magic_crm_service_finance.dart; server/src/crm/commerce; server/src/crm/crm-finance.controller.ts</x:v>
      </x:c>
      <x:c r="M165" s="9" t="str">
        <x:v>test/features/crm/*commerce*; server/src/crm/commerce/*.spec.ts</x:v>
      </x:c>
      <x:c r="N165" s="9" t="str">
        <x:v>CODE-BACKED</x:v>
      </x:c>
      <x:c r="O165" s="9" t="str">
        <x:v>PASS</x:v>
      </x:c>
      <x:c r="P165" s="9" t="str">
        <x:v>Post-fix acceptance passed for Client commerce self view: 1 exact named test(s) matched and passed on build 1.2.3+156.</x:v>
      </x:c>
      <x:c r="Q165" s="9" t="str"/>
      <x:c r="R165" s="9" t="str">
        <x:v>P0</x:v>
      </x:c>
      <x:c r="S165" s="9" t="str">
        <x:v>2026-08-06</x:v>
      </x:c>
      <x:c r="T165" s="9" t="str">
        <x:v>evidence/server-test-json-final-156.json</x:v>
      </x:c>
      <x:c r="U165" s="9" t="str">
        <x:v>Server: server/src/crm/commerce/commerce-projections.contract.spec.ts :: v4 commerce projections contract returns the separate client self envelope without embedded internals</x:v>
      </x:c>
    </x:row>
    <x:row r="166">
      <x:c r="A166" s="9" t="str">
        <x:v>COM-011</x:v>
      </x:c>
      <x:c r="B166" s="9" t="str">
        <x:v>Commerce</x:v>
      </x:c>
      <x:c r="C166" s="9" t="str">
        <x:v>Staff client commerce view</x:v>
      </x:c>
      <x:c r="D166" s="9" t="str">
        <x:v>admin/manager/director</x:v>
      </x:c>
      <x:c r="E166" s="9" t="str">
        <x:v>Как admin/manager/director, я хочу видеть финансы карточки клиента, чтобы рабочий сценарий был предсказуемым.</x:v>
      </x:c>
      <x:c r="F166" s="9" t="str">
        <x:v>Пользователь вошёл; client/package/finance scope разрешён.</x:v>
      </x:c>
      <x:c r="G166" s="9" t="str">
        <x:v>Открыть Payments/Subscription/Finance/Settings catalog и выполнить действие.</x:v>
      </x:c>
      <x:c r="H166" s="9" t="str">
        <x:v>Разрешённые roles получают ledger/subscription/payment history; Teacher не получает эти поля.</x:v>
      </x:c>
      <x:c r="I166" s="9" t="str">
        <x:v>canReadStudentFinance</x:v>
      </x:c>
      <x:c r="J166" s="9" t="str">
        <x:v>Windows, Android</x:v>
      </x:c>
      <x:c r="K166" s="9" t="str">
        <x:v>lib/features/crm/presentation/client_card; lib/features/manager/presentation/widgets/finance_widget.dart; manage_entities_widget.dart</x:v>
      </x:c>
      <x:c r="L166" s="9" t="str">
        <x:v>lib/core/services/magic_crm_service_finance.dart; server/src/crm/commerce; server/src/crm/crm-finance.controller.ts</x:v>
      </x:c>
      <x:c r="M166" s="9" t="str">
        <x:v>test/features/crm/*commerce*; server/src/crm/commerce/*.spec.ts</x:v>
      </x:c>
      <x:c r="N166" s="9" t="str">
        <x:v>CODE-BACKED</x:v>
      </x:c>
      <x:c r="O166" s="9" t="str">
        <x:v>PASS</x:v>
      </x:c>
      <x:c r="P166" s="9" t="str">
        <x:v>Post-fix acceptance passed for Staff client commerce view: 1 exact named test(s) matched and passed on build 1.2.3+156.</x:v>
      </x:c>
      <x:c r="Q166" s="9" t="str"/>
      <x:c r="R166" s="9" t="str">
        <x:v>P0</x:v>
      </x:c>
      <x:c r="S166" s="9" t="str">
        <x:v>2026-08-06</x:v>
      </x:c>
      <x:c r="T166" s="9" t="str">
        <x:v>evidence/server-test-json-final-156.json</x:v>
      </x:c>
      <x:c r="U166" s="9" t="str">
        <x:v>Server: server/src/crm/commerce/commerce-projections.contract.spec.ts :: v4 commerce projections contract sanitizes client DTOs and only retains discount reason for staff</x:v>
      </x:c>
    </x:row>
    <x:row r="167">
      <x:c r="A167" s="9" t="str">
        <x:v>COM-012</x:v>
      </x:c>
      <x:c r="B167" s="9" t="str">
        <x:v>Commerce</x:v>
      </x:c>
      <x:c r="C167" s="9" t="str">
        <x:v>Paid lesson balance</x:v>
      </x:c>
      <x:c r="D167" s="9" t="str">
        <x:v>клиент/staff</x:v>
      </x:c>
      <x:c r="E167" s="9" t="str">
        <x:v>Как клиент/staff, я хочу видеть остаток занятий, чтобы рабочий сценарий был предсказуемым.</x:v>
      </x:c>
      <x:c r="F167" s="9" t="str">
        <x:v>Пользователь вошёл; client/package/finance scope разрешён.</x:v>
      </x:c>
      <x:c r="G167" s="9" t="str">
        <x:v>Открыть Payments/Subscription/Finance/Settings catalog и выполнить действие.</x:v>
      </x:c>
      <x:c r="H167" s="9" t="str">
        <x:v>Paid/reserved/used/remaining units reconciliation согласован с Lessons and settlement facts.</x:v>
      </x:c>
      <x:c r="I167" s="9" t="str">
        <x:v>actor client finance scope</x:v>
      </x:c>
      <x:c r="J167" s="9" t="str">
        <x:v>Windows, Android</x:v>
      </x:c>
      <x:c r="K167" s="9" t="str">
        <x:v>lib/features/crm/presentation/client_card; lib/features/manager/presentation/widgets/finance_widget.dart; manage_entities_widget.dart</x:v>
      </x:c>
      <x:c r="L167" s="9" t="str">
        <x:v>lib/core/services/magic_crm_service_finance.dart; server/src/crm/commerce; server/src/crm/crm-finance.controller.ts</x:v>
      </x:c>
      <x:c r="M167" s="9" t="str">
        <x:v>test/features/crm/*commerce*; server/src/crm/commerce/*.spec.ts</x:v>
      </x:c>
      <x:c r="N167" s="9" t="str">
        <x:v>CODE-BACKED</x:v>
      </x:c>
      <x:c r="O167" s="9" t="str">
        <x:v>PASS</x:v>
      </x:c>
      <x:c r="P167" s="9" t="str">
        <x:v>Post-fix acceptance passed for Paid lesson balance: 1 exact named test(s) matched and passed on build 1.2.3+156.</x:v>
      </x:c>
      <x:c r="Q167" s="9" t="str"/>
      <x:c r="R167" s="9" t="str">
        <x:v>P0</x:v>
      </x:c>
      <x:c r="S167" s="9" t="str">
        <x:v>2026-08-06</x:v>
      </x:c>
      <x:c r="T167" s="9" t="str">
        <x:v>evidence/flutter-test-machine-final-156.ndjson</x:v>
      </x:c>
      <x:c r="U167" s="9" t="str">
        <x:v>Flutter: test/features/v6/client_payments_tab_test.dart :: lesson tab shows the reconciled server balance and its links</x:v>
      </x:c>
    </x:row>
    <x:row r="168">
      <x:c r="A168" s="9" t="str">
        <x:v>COM-013</x:v>
      </x:c>
      <x:c r="B168" s="9" t="str">
        <x:v>Commerce</x:v>
      </x:c>
      <x:c r="C168" s="9" t="str">
        <x:v>Client ledger</x:v>
      </x:c>
      <x:c r="D168" s="9" t="str">
        <x:v>разрешённый staff</x:v>
      </x:c>
      <x:c r="E168" s="9" t="str">
        <x:v>Как разрешённый staff, я хочу просмотреть личный счёт, чтобы рабочий сценарий был предсказуемым.</x:v>
      </x:c>
      <x:c r="F168" s="9" t="str">
        <x:v>Пользователь вошёл; client/package/finance scope разрешён.</x:v>
      </x:c>
      <x:c r="G168" s="9" t="str">
        <x:v>Открыть Payments/Subscription/Finance/Settings catalog и выполнить действие.</x:v>
      </x:c>
      <x:c r="H168" s="9" t="str">
        <x:v>Ledger immutable ordered entries дают running balance без редактирования history.</x:v>
      </x:c>
      <x:c r="I168" s="9" t="str">
        <x:v>client finance read</x:v>
      </x:c>
      <x:c r="J168" s="9" t="str">
        <x:v>Windows, Android</x:v>
      </x:c>
      <x:c r="K168" s="9" t="str">
        <x:v>lib/features/crm/presentation/client_card; lib/features/manager/presentation/widgets/finance_widget.dart; manage_entities_widget.dart</x:v>
      </x:c>
      <x:c r="L168" s="9" t="str">
        <x:v>lib/core/services/magic_crm_service_finance.dart; server/src/crm/commerce; server/src/crm/crm-finance.controller.ts</x:v>
      </x:c>
      <x:c r="M168" s="9" t="str">
        <x:v>test/features/crm/*commerce*; server/src/crm/commerce/*.spec.ts</x:v>
      </x:c>
      <x:c r="N168" s="9" t="str">
        <x:v>CODE-BACKED</x:v>
      </x:c>
      <x:c r="O168" s="9" t="str">
        <x:v>PASS</x:v>
      </x:c>
      <x:c r="P168" s="9" t="str">
        <x:v>Post-fix acceptance passed for Client ledger: 1 exact named test(s) matched and passed on build 1.2.3+156.</x:v>
      </x:c>
      <x:c r="Q168" s="9" t="str"/>
      <x:c r="R168" s="9" t="str">
        <x:v>P0</x:v>
      </x:c>
      <x:c r="S168" s="9" t="str">
        <x:v>2026-08-06</x:v>
      </x:c>
      <x:c r="T168" s="9" t="str">
        <x:v>evidence/server-test-json-final-156.json</x:v>
      </x:c>
      <x:c r="U168" s="9" t="str">
        <x:v>Server: server/src/crm/finance.service.spec.ts :: FinanceService lists the student ledger with signed amounts, totals and direction filter</x:v>
      </x:c>
    </x:row>
    <x:row r="169">
      <x:c r="A169" s="9" t="str">
        <x:v>COM-014</x:v>
      </x:c>
      <x:c r="B169" s="9" t="str">
        <x:v>Commerce</x:v>
      </x:c>
      <x:c r="C169" s="9" t="str">
        <x:v>Ledger adjustment</x:v>
      </x:c>
      <x:c r="D169" s="9" t="str">
        <x:v>разрешённый staff</x:v>
      </x:c>
      <x:c r="E169" s="9" t="str">
        <x:v>Как разрешённый staff, я хочу создать корректировку, чтобы рабочий сценарий был предсказуемым.</x:v>
      </x:c>
      <x:c r="F169" s="9" t="str">
        <x:v>Пользователь вошёл; client/package/finance scope разрешён.</x:v>
      </x:c>
      <x:c r="G169" s="9" t="str">
        <x:v>Открыть Payments/Subscription/Finance/Settings catalog и выполнить действие.</x:v>
      </x:c>
      <x:c r="H169" s="9" t="str">
        <x:v>Adjustment требует amount/reason/idempotency and audit; прошлые entries не переписываются.</x:v>
      </x:c>
      <x:c r="I169" s="9" t="str">
        <x:v>client finance write</x:v>
      </x:c>
      <x:c r="J169" s="9" t="str">
        <x:v>Windows, Android</x:v>
      </x:c>
      <x:c r="K169" s="9" t="str">
        <x:v>lib/features/crm/presentation/client_card; lib/features/manager/presentation/widgets/finance_widget.dart; manage_entities_widget.dart</x:v>
      </x:c>
      <x:c r="L169" s="9" t="str">
        <x:v>lib/core/services/magic_crm_service_finance.dart; server/src/crm/commerce; server/src/crm/crm-finance.controller.ts</x:v>
      </x:c>
      <x:c r="M169" s="9" t="str">
        <x:v>test/features/crm/*commerce*; server/src/crm/commerce/*.spec.ts</x:v>
      </x:c>
      <x:c r="N169" s="9" t="str">
        <x:v>CODE-BACKED</x:v>
      </x:c>
      <x:c r="O169" s="9" t="str">
        <x:v>PASS</x:v>
      </x:c>
      <x:c r="P169" s="9" t="str">
        <x:v>Post-fix acceptance passed for Ledger adjustment: 1 exact named test(s) matched and passed on build 1.2.3+156.</x:v>
      </x:c>
      <x:c r="Q169" s="9" t="str"/>
      <x:c r="R169" s="9" t="str">
        <x:v>P0</x:v>
      </x:c>
      <x:c r="S169" s="9" t="str">
        <x:v>2026-08-06</x:v>
      </x:c>
      <x:c r="T169" s="9" t="str">
        <x:v>evidence/server-test-json-final-156.json</x:v>
      </x:c>
      <x:c r="U169" s="9" t="str">
        <x:v>Server: server/src/crm/commerce/subscription-issue-postgres.integration.spec.ts :: Subscription issue, discount, installments and ActualPayment issues 8000 - 20% = 6400 with exact installments and no revenue</x:v>
      </x:c>
    </x:row>
    <x:row r="170">
      <x:c r="A170" s="9" t="str">
        <x:v>COM-015</x:v>
      </x:c>
      <x:c r="B170" s="9" t="str">
        <x:v>Commerce</x:v>
      </x:c>
      <x:c r="C170" s="9" t="str">
        <x:v>Balance transfer</x:v>
      </x:c>
      <x:c r="D170" s="9" t="str">
        <x:v>разрешённый staff</x:v>
      </x:c>
      <x:c r="E170" s="9" t="str">
        <x:v>Как разрешённый staff, я хочу перенести средства, чтобы рабочий сценарий был предсказуемым.</x:v>
      </x:c>
      <x:c r="F170" s="9" t="str">
        <x:v>Пользователь вошёл; client/package/finance scope разрешён.</x:v>
      </x:c>
      <x:c r="G170" s="9" t="str">
        <x:v>Открыть Payments/Subscription/Finance/Settings catalog и выполнить действие.</x:v>
      </x:c>
      <x:c r="H170" s="9" t="str">
        <x:v>Source/destination/amount валидируются атомарно; total сохраняется, duplicate replay безопасен.</x:v>
      </x:c>
      <x:c r="I170" s="9" t="str">
        <x:v>client finance write</x:v>
      </x:c>
      <x:c r="J170" s="9" t="str">
        <x:v>Windows, Android</x:v>
      </x:c>
      <x:c r="K170" s="9" t="str">
        <x:v>lib/features/crm/presentation/client_card; lib/features/manager/presentation/widgets/finance_widget.dart; manage_entities_widget.dart</x:v>
      </x:c>
      <x:c r="L170" s="9" t="str">
        <x:v>lib/core/services/magic_crm_service_finance.dart; server/src/crm/commerce; server/src/crm/crm-finance.controller.ts</x:v>
      </x:c>
      <x:c r="M170" s="9" t="str">
        <x:v>test/features/crm/*commerce*; server/src/crm/commerce/*.spec.ts</x:v>
      </x:c>
      <x:c r="N170" s="9" t="str">
        <x:v>CODE-BACKED</x:v>
      </x:c>
      <x:c r="O170" s="9" t="str">
        <x:v>PASS</x:v>
      </x:c>
      <x:c r="P170" s="9" t="str">
        <x:v>Post-fix acceptance passed for Balance transfer: 1 exact named test(s) matched and passed on build 1.2.3+156.</x:v>
      </x:c>
      <x:c r="Q170" s="9" t="str"/>
      <x:c r="R170" s="9" t="str">
        <x:v>P0</x:v>
      </x:c>
      <x:c r="S170" s="9" t="str">
        <x:v>2026-08-06</x:v>
      </x:c>
      <x:c r="T170" s="9" t="str">
        <x:v>evidence/server-test-json-final-156.json</x:v>
      </x:c>
      <x:c r="U170" s="9" t="str">
        <x:v>Server: server/src/crm/finance.service.spec.ts :: FinanceService createAccountTransfer writes both legs with opposite signs and links the counterparties</x:v>
      </x:c>
    </x:row>
    <x:row r="171">
      <x:c r="A171" s="9" t="str">
        <x:v>COM-016</x:v>
      </x:c>
      <x:c r="B171" s="9" t="str">
        <x:v>Commerce</x:v>
      </x:c>
      <x:c r="C171" s="9" t="str">
        <x:v>Expected payments</x:v>
      </x:c>
      <x:c r="D171" s="9" t="str">
        <x:v>разрешённый staff</x:v>
      </x:c>
      <x:c r="E171" s="9" t="str">
        <x:v>Как разрешённый staff, я хочу видеть ожидаемые платежи, чтобы рабочий сценарий был предсказуемым.</x:v>
      </x:c>
      <x:c r="F171" s="9" t="str">
        <x:v>Пользователь вошёл; client/package/finance scope разрешён.</x:v>
      </x:c>
      <x:c r="G171" s="9" t="str">
        <x:v>Открыть Payments/Subscription/Finance/Settings catalog и выполнить действие.</x:v>
      </x:c>
      <x:c r="H171" s="9" t="str">
        <x:v>Список выводится в actor/branch scope и согласован с installment obligations.</x:v>
      </x:c>
      <x:c r="I171" s="9" t="str">
        <x:v>client finance read</x:v>
      </x:c>
      <x:c r="J171" s="9" t="str">
        <x:v>Windows, Android</x:v>
      </x:c>
      <x:c r="K171" s="9" t="str">
        <x:v>lib/features/crm/presentation/client_card; lib/features/manager/presentation/widgets/finance_widget.dart; manage_entities_widget.dart</x:v>
      </x:c>
      <x:c r="L171" s="9" t="str">
        <x:v>lib/core/services/magic_crm_service_finance.dart; server/src/crm/commerce; server/src/crm/crm-finance.controller.ts</x:v>
      </x:c>
      <x:c r="M171" s="9" t="str">
        <x:v>test/features/crm/*commerce*; server/src/crm/commerce/*.spec.ts</x:v>
      </x:c>
      <x:c r="N171" s="9" t="str">
        <x:v>CODE-BACKED</x:v>
      </x:c>
      <x:c r="O171" s="9" t="str">
        <x:v>PASS</x:v>
      </x:c>
      <x:c r="P171" s="9" t="str">
        <x:v>Post-fix acceptance passed for Expected payments: 1 exact named test(s) matched and passed on build 1.2.3+156.</x:v>
      </x:c>
      <x:c r="Q171" s="9" t="str"/>
      <x:c r="R171" s="9" t="str">
        <x:v>P1</x:v>
      </x:c>
      <x:c r="S171" s="9" t="str">
        <x:v>2026-08-06</x:v>
      </x:c>
      <x:c r="T171" s="9" t="str">
        <x:v>evidence/server-test-json-final-156.json</x:v>
      </x:c>
      <x:c r="U171" s="9" t="str">
        <x:v>Server: server/src/crm/finance.service.spec.ts :: FinanceService lists expected payments after student read authorization</x:v>
      </x:c>
    </x:row>
    <x:row r="172">
      <x:c r="A172" s="9" t="str">
        <x:v>COM-017</x:v>
      </x:c>
      <x:c r="B172" s="9" t="str">
        <x:v>Commerce</x:v>
      </x:c>
      <x:c r="C172" s="9" t="str">
        <x:v>Subscription replacement preview</x:v>
      </x:c>
      <x:c r="D172" s="9" t="str">
        <x:v>разрешённый staff</x:v>
      </x:c>
      <x:c r="E172" s="9" t="str">
        <x:v>Как разрешённый staff, я хочу увидеть последствия замены, чтобы рабочий сценарий был предсказуемым.</x:v>
      </x:c>
      <x:c r="F172" s="9" t="str">
        <x:v>Пользователь вошёл; client/package/finance scope разрешён.</x:v>
      </x:c>
      <x:c r="G172" s="9" t="str">
        <x:v>Открыть Payments/Subscription/Finance/Settings catalog и выполнить действие.</x:v>
      </x:c>
      <x:c r="H172" s="9" t="str">
        <x:v>Preview показывает value/units/settlement impact и выдаёт version-bound confirmation token.</x:v>
      </x:c>
      <x:c r="I172" s="9" t="str">
        <x:v>client finance write</x:v>
      </x:c>
      <x:c r="J172" s="9" t="str">
        <x:v>Windows, Android</x:v>
      </x:c>
      <x:c r="K172" s="9" t="str">
        <x:v>lib/features/crm/presentation/client_card; lib/features/manager/presentation/widgets/finance_widget.dart; manage_entities_widget.dart</x:v>
      </x:c>
      <x:c r="L172" s="9" t="str">
        <x:v>lib/core/services/magic_crm_service_finance.dart; server/src/crm/commerce; server/src/crm/crm-finance.controller.ts</x:v>
      </x:c>
      <x:c r="M172" s="9" t="str">
        <x:v>test/features/crm/*commerce*; server/src/crm/commerce/*.spec.ts</x:v>
      </x:c>
      <x:c r="N172" s="9" t="str">
        <x:v>CODE-BACKED</x:v>
      </x:c>
      <x:c r="O172" s="9" t="str">
        <x:v>PASS</x:v>
      </x:c>
      <x:c r="P172" s="9" t="str">
        <x:v>Post-fix acceptance passed for Subscription replacement preview: 1 exact named test(s) matched and passed on build 1.2.3+156.</x:v>
      </x:c>
      <x:c r="Q172" s="9" t="str"/>
      <x:c r="R172" s="9" t="str">
        <x:v>P0</x:v>
      </x:c>
      <x:c r="S172" s="9" t="str">
        <x:v>2026-08-06</x:v>
      </x:c>
      <x:c r="T172" s="9" t="str">
        <x:v>evidence/server-test-json-final-156.json</x:v>
      </x:c>
      <x:c r="U172" s="9" t="str">
        <x:v>Server: server/src/crm/commerce/subscription-replace-postgres.integration.spec.ts :: Subscription replacement preview/confirm blocks insufficient volume, cross-currency and cross-student paths with persisted=0</x:v>
      </x:c>
    </x:row>
    <x:row r="173">
      <x:c r="A173" s="9" t="str">
        <x:v>COM-018</x:v>
      </x:c>
      <x:c r="B173" s="9" t="str">
        <x:v>Commerce</x:v>
      </x:c>
      <x:c r="C173" s="9" t="str">
        <x:v>Replace subscription</x:v>
      </x:c>
      <x:c r="D173" s="9" t="str">
        <x:v>разрешённый staff</x:v>
      </x:c>
      <x:c r="E173" s="9" t="str">
        <x:v>Как разрешённый staff, я хочу заменить абонемент, чтобы рабочий сценарий был предсказуемым.</x:v>
      </x:c>
      <x:c r="F173" s="9" t="str">
        <x:v>Пользователь вошёл; client/package/finance scope разрешён.</x:v>
      </x:c>
      <x:c r="G173" s="9" t="str">
        <x:v>Открыть Payments/Subscription/Finance/Settings catalog и выполнить действие.</x:v>
      </x:c>
      <x:c r="H173" s="9" t="str">
        <x:v>Submit соответствует preview/token/version; old snapshot остаётся в history, new становится active.</x:v>
      </x:c>
      <x:c r="I173" s="9" t="str">
        <x:v>client finance write</x:v>
      </x:c>
      <x:c r="J173" s="9" t="str">
        <x:v>Windows, Android</x:v>
      </x:c>
      <x:c r="K173" s="9" t="str">
        <x:v>lib/features/crm/presentation/client_card; lib/features/manager/presentation/widgets/finance_widget.dart; manage_entities_widget.dart</x:v>
      </x:c>
      <x:c r="L173" s="9" t="str">
        <x:v>lib/core/services/magic_crm_service_finance.dart; server/src/crm/commerce; server/src/crm/crm-finance.controller.ts</x:v>
      </x:c>
      <x:c r="M173" s="9" t="str">
        <x:v>test/features/crm/*commerce*; server/src/crm/commerce/*.spec.ts</x:v>
      </x:c>
      <x:c r="N173" s="9" t="str">
        <x:v>CODE-BACKED</x:v>
      </x:c>
      <x:c r="O173" s="9" t="str">
        <x:v>PASS</x:v>
      </x:c>
      <x:c r="P173" s="9" t="str">
        <x:v>Post-fix acceptance passed for Replace subscription: 1 exact named test(s) matched and passed on build 1.2.3+156.</x:v>
      </x:c>
      <x:c r="Q173" s="9" t="str"/>
      <x:c r="R173" s="9" t="str">
        <x:v>P0</x:v>
      </x:c>
      <x:c r="S173" s="9" t="str">
        <x:v>2026-08-06</x:v>
      </x:c>
      <x:c r="T173" s="9" t="str">
        <x:v>evidence/server-test-json-final-156.json</x:v>
      </x:c>
      <x:c r="U173" s="9" t="str">
        <x:v>Server: server/src/crm/commerce/subscription-replace-postgres.integration.spec.ts :: Subscription replacement preview/confirm replaces with a dearer snapshot, preserves payment and deterministically releases overflow reservations</x:v>
      </x:c>
    </x:row>
    <x:row r="174">
      <x:c r="A174" s="9" t="str">
        <x:v>COM-019</x:v>
      </x:c>
      <x:c r="B174" s="9" t="str">
        <x:v>Commerce</x:v>
      </x:c>
      <x:c r="C174" s="9" t="str">
        <x:v>Cancellation preview</x:v>
      </x:c>
      <x:c r="D174" s="9" t="str">
        <x:v>разрешённый staff</x:v>
      </x:c>
      <x:c r="E174" s="9" t="str">
        <x:v>Как разрешённый staff, я хочу увидеть последствия отмены, чтобы рабочий сценарий был предсказуемым.</x:v>
      </x:c>
      <x:c r="F174" s="9" t="str">
        <x:v>Пользователь вошёл; client/package/finance scope разрешён.</x:v>
      </x:c>
      <x:c r="G174" s="9" t="str">
        <x:v>Открыть Payments/Subscription/Finance/Settings catalog и выполнить действие.</x:v>
      </x:c>
      <x:c r="H174" s="9" t="str">
        <x:v>Preview объясняет refund/balance/lesson effects до mutation.</x:v>
      </x:c>
      <x:c r="I174" s="9" t="str">
        <x:v>client finance write</x:v>
      </x:c>
      <x:c r="J174" s="9" t="str">
        <x:v>Windows, Android</x:v>
      </x:c>
      <x:c r="K174" s="9" t="str">
        <x:v>lib/features/crm/presentation/client_card; lib/features/manager/presentation/widgets/finance_widget.dart; manage_entities_widget.dart</x:v>
      </x:c>
      <x:c r="L174" s="9" t="str">
        <x:v>lib/core/services/magic_crm_service_finance.dart; server/src/crm/commerce; server/src/crm/crm-finance.controller.ts</x:v>
      </x:c>
      <x:c r="M174" s="9" t="str">
        <x:v>test/features/crm/*commerce*; server/src/crm/commerce/*.spec.ts</x:v>
      </x:c>
      <x:c r="N174" s="9" t="str">
        <x:v>CODE-BACKED</x:v>
      </x:c>
      <x:c r="O174" s="9" t="str">
        <x:v>PASS</x:v>
      </x:c>
      <x:c r="P174" s="9" t="str">
        <x:v>Post-fix acceptance passed for Cancellation preview: 1 exact named test(s) matched and passed on build 1.2.3+156.</x:v>
      </x:c>
      <x:c r="Q174" s="9" t="str"/>
      <x:c r="R174" s="9" t="str">
        <x:v>P0</x:v>
      </x:c>
      <x:c r="S174" s="9" t="str">
        <x:v>2026-08-06</x:v>
      </x:c>
      <x:c r="T174" s="9" t="str">
        <x:v>evidence/server-test-json-final-156.json</x:v>
      </x:c>
      <x:c r="U174" s="9" t="str">
        <x:v>Server: server/src/crm/commerce/subscription-cancel-postgres.integration.spec.ts :: Subscription cancellation preview/confirm previews immutable payments/writeoffs/balance and future lessons</x:v>
      </x:c>
    </x:row>
    <x:row r="175">
      <x:c r="A175" s="9" t="str">
        <x:v>COM-020</x:v>
      </x:c>
      <x:c r="B175" s="9" t="str">
        <x:v>Commerce</x:v>
      </x:c>
      <x:c r="C175" s="9" t="str">
        <x:v>Cancel subscription</x:v>
      </x:c>
      <x:c r="D175" s="9" t="str">
        <x:v>разрешённый staff</x:v>
      </x:c>
      <x:c r="E175" s="9" t="str">
        <x:v>Как разрешённый staff, я хочу отменить абонемент, чтобы рабочий сценарий был предсказуемым.</x:v>
      </x:c>
      <x:c r="F175" s="9" t="str">
        <x:v>Пользователь вошёл; client/package/finance scope разрешён.</x:v>
      </x:c>
      <x:c r="G175" s="9" t="str">
        <x:v>Открыть Payments/Subscription/Finance/Settings catalog и выполнить действие.</x:v>
      </x:c>
      <x:c r="H175" s="9" t="str">
        <x:v>Cancellation versioned/idempotent; historical payment/subscription facts сохраняются.</x:v>
      </x:c>
      <x:c r="I175" s="9" t="str">
        <x:v>client finance write</x:v>
      </x:c>
      <x:c r="J175" s="9" t="str">
        <x:v>Windows, Android</x:v>
      </x:c>
      <x:c r="K175" s="9" t="str">
        <x:v>lib/features/crm/presentation/client_card; lib/features/manager/presentation/widgets/finance_widget.dart; manage_entities_widget.dart</x:v>
      </x:c>
      <x:c r="L175" s="9" t="str">
        <x:v>lib/core/services/magic_crm_service_finance.dart; server/src/crm/commerce; server/src/crm/crm-finance.controller.ts</x:v>
      </x:c>
      <x:c r="M175" s="9" t="str">
        <x:v>test/features/crm/*commerce*; server/src/crm/commerce/*.spec.ts</x:v>
      </x:c>
      <x:c r="N175" s="9" t="str">
        <x:v>CODE-BACKED</x:v>
      </x:c>
      <x:c r="O175" s="9" t="str">
        <x:v>PASS</x:v>
      </x:c>
      <x:c r="P175" s="9" t="str">
        <x:v>Post-fix acceptance passed for Cancel subscription: 1 exact named test(s) matched and passed on build 1.2.3+156.</x:v>
      </x:c>
      <x:c r="Q175" s="9" t="str"/>
      <x:c r="R175" s="9" t="str">
        <x:v>P0</x:v>
      </x:c>
      <x:c r="S175" s="9" t="str">
        <x:v>2026-08-06</x:v>
      </x:c>
      <x:c r="T175" s="9" t="str">
        <x:v>evidence/server-test-json-final-156.json</x:v>
      </x:c>
      <x:c r="U175" s="9" t="str">
        <x:v>Server: server/src/crm/commerce/subscription-cancel-postgres.integration.spec.ts :: Subscription cancellation preview/confirm cancels lifecycle-only, releases reservations and preserves every finance/lesson fact</x:v>
      </x:c>
    </x:row>
    <x:row r="176">
      <x:c r="A176" s="9" t="str">
        <x:v>COM-021</x:v>
      </x:c>
      <x:c r="B176" s="9" t="str">
        <x:v>Commerce</x:v>
      </x:c>
      <x:c r="C176" s="9" t="str">
        <x:v>Expenses list</x:v>
      </x:c>
      <x:c r="D176" s="9" t="str">
        <x:v>директор/system admin</x:v>
      </x:c>
      <x:c r="E176" s="9" t="str">
        <x:v>Как директор/system admin, я хочу видеть расходы школы, чтобы рабочий сценарий был предсказуемым.</x:v>
      </x:c>
      <x:c r="F176" s="9" t="str">
        <x:v>Пользователь вошёл; client/package/finance scope разрешён.</x:v>
      </x:c>
      <x:c r="G176" s="9" t="str">
        <x:v>Открыть Payments/Subscription/Finance/Settings catalog и выполнить действие.</x:v>
      </x:c>
      <x:c r="H176" s="9" t="str">
        <x:v>Only school-finance actors load expenses; Manager/Admin/Teacher/Client не создают request.</x:v>
      </x:c>
      <x:c r="I176" s="9" t="str">
        <x:v>canReadSchoolFinance</x:v>
      </x:c>
      <x:c r="J176" s="9" t="str">
        <x:v>Windows, Android</x:v>
      </x:c>
      <x:c r="K176" s="9" t="str">
        <x:v>lib/features/crm/presentation/client_card; lib/features/manager/presentation/widgets/finance_widget.dart; manage_entities_widget.dart</x:v>
      </x:c>
      <x:c r="L176" s="9" t="str">
        <x:v>lib/core/services/magic_crm_service_finance.dart; server/src/crm/commerce; server/src/crm/crm-finance.controller.ts</x:v>
      </x:c>
      <x:c r="M176" s="9" t="str">
        <x:v>test/features/crm/*commerce*; server/src/crm/commerce/*.spec.ts</x:v>
      </x:c>
      <x:c r="N176" s="9" t="str">
        <x:v>CODE-BACKED</x:v>
      </x:c>
      <x:c r="O176" s="9" t="str">
        <x:v>PASS</x:v>
      </x:c>
      <x:c r="P176" s="9" t="str">
        <x:v>Post-fix acceptance passed for Expenses list: 1 exact named test(s) matched and passed on build 1.2.3+156.</x:v>
      </x:c>
      <x:c r="Q176" s="9" t="str"/>
      <x:c r="R176" s="9" t="str">
        <x:v>P0</x:v>
      </x:c>
      <x:c r="S176" s="9" t="str">
        <x:v>2026-08-06</x:v>
      </x:c>
      <x:c r="T176" s="9" t="str">
        <x:v>evidence/server-test-json-final-156.json</x:v>
      </x:c>
      <x:c r="U176" s="9" t="str">
        <x:v>Server: server/src/crm/finance.service.spec.ts :: FinanceService lists expenses with branch/category filters and a total (P5-5)</x:v>
      </x:c>
    </x:row>
    <x:row r="177">
      <x:c r="A177" s="9" t="str">
        <x:v>COM-022</x:v>
      </x:c>
      <x:c r="B177" s="9" t="str">
        <x:v>Commerce</x:v>
      </x:c>
      <x:c r="C177" s="9" t="str">
        <x:v>Manage expense</x:v>
      </x:c>
      <x:c r="D177" s="9" t="str">
        <x:v>директор/system admin</x:v>
      </x:c>
      <x:c r="E177" s="9" t="str">
        <x:v>Как директор/system admin, я хочу создать/изменить/удалить расход, чтобы рабочий сценарий был предсказуемым.</x:v>
      </x:c>
      <x:c r="F177" s="9" t="str">
        <x:v>Пользователь вошёл; client/package/finance scope разрешён.</x:v>
      </x:c>
      <x:c r="G177" s="9" t="str">
        <x:v>Открыть Payments/Subscription/Finance/Settings catalog и выполнить действие.</x:v>
      </x:c>
      <x:c r="H177" s="9" t="str">
        <x:v>Mutation доступна только school-finance actors, валидирует amount/date/category and audit.</x:v>
      </x:c>
      <x:c r="I177" s="9" t="str">
        <x:v>school finance write</x:v>
      </x:c>
      <x:c r="J177" s="9" t="str">
        <x:v>Windows, Android</x:v>
      </x:c>
      <x:c r="K177" s="9" t="str">
        <x:v>lib/features/crm/presentation/client_card; lib/features/manager/presentation/widgets/finance_widget.dart; manage_entities_widget.dart</x:v>
      </x:c>
      <x:c r="L177" s="9" t="str">
        <x:v>lib/core/services/magic_crm_service_finance.dart; server/src/crm/commerce; server/src/crm/crm-finance.controller.ts</x:v>
      </x:c>
      <x:c r="M177" s="9" t="str">
        <x:v>test/features/crm/*commerce*; server/src/crm/commerce/*.spec.ts</x:v>
      </x:c>
      <x:c r="N177" s="9" t="str">
        <x:v>CODE-BACKED</x:v>
      </x:c>
      <x:c r="O177" s="9" t="str">
        <x:v>PASS</x:v>
      </x:c>
      <x:c r="P177" s="9" t="str">
        <x:v>Post-fix acceptance passed for Manage expense: 1 exact named test(s) matched and passed on build 1.2.3+156.</x:v>
      </x:c>
      <x:c r="Q177" s="9" t="str"/>
      <x:c r="R177" s="9" t="str">
        <x:v>P0</x:v>
      </x:c>
      <x:c r="S177" s="9" t="str">
        <x:v>2026-08-06</x:v>
      </x:c>
      <x:c r="T177" s="9" t="str">
        <x:v>evidence/server-test-json-final-156.json</x:v>
      </x:c>
      <x:c r="U177" s="9" t="str">
        <x:v>Server: server/src/crm/finance.service.spec.ts :: FinanceService creates expenses through CRM write policy and audit (P5-5)</x:v>
      </x:c>
    </x:row>
    <x:row r="178">
      <x:c r="A178" s="9" t="str">
        <x:v>COM-023</x:v>
      </x:c>
      <x:c r="B178" s="9" t="str">
        <x:v>Commerce</x:v>
      </x:c>
      <x:c r="C178" s="9" t="str">
        <x:v>Finance realtime invalidation</x:v>
      </x:c>
      <x:c r="D178" s="9" t="str">
        <x:v>разрешённый viewer</x:v>
      </x:c>
      <x:c r="E178" s="9" t="str">
        <x:v>Как разрешённый viewer, я хочу увидеть актуальные финансы, чтобы рабочий сценарий был предсказуемым.</x:v>
      </x:c>
      <x:c r="F178" s="9" t="str">
        <x:v>Пользователь вошёл; client/package/finance scope разрешён.</x:v>
      </x:c>
      <x:c r="G178" s="9" t="str">
        <x:v>Открыть Payments/Subscription/Finance/Settings catalog и выполнить действие.</x:v>
      </x:c>
      <x:c r="H178" s="9" t="str">
        <x:v>Event не содержит money values; только authorized projection refetch-ится, Teacher не в finance room.</x:v>
      </x:c>
      <x:c r="I178" s="9" t="str">
        <x:v>actor finance scope</x:v>
      </x:c>
      <x:c r="J178" s="9" t="str">
        <x:v>Windows, Android</x:v>
      </x:c>
      <x:c r="K178" s="9" t="str">
        <x:v>lib/features/crm/presentation/client_card; lib/features/manager/presentation/widgets/finance_widget.dart; manage_entities_widget.dart</x:v>
      </x:c>
      <x:c r="L178" s="9" t="str">
        <x:v>lib/core/services/magic_crm_service_finance.dart; server/src/crm/commerce; server/src/crm/crm-finance.controller.ts</x:v>
      </x:c>
      <x:c r="M178" s="9" t="str">
        <x:v>test/features/crm/*commerce*; server/src/crm/commerce/*.spec.ts</x:v>
      </x:c>
      <x:c r="N178" s="9" t="str">
        <x:v>CODE-BACKED</x:v>
      </x:c>
      <x:c r="O178" s="9" t="str">
        <x:v>PASS</x:v>
      </x:c>
      <x:c r="P178" s="9" t="str">
        <x:v>Post-fix acceptance passed for Finance realtime invalidation: 1 exact named test(s) matched and passed on build 1.2.3+156.</x:v>
      </x:c>
      <x:c r="Q178" s="9" t="str"/>
      <x:c r="R178" s="9" t="str">
        <x:v>P0</x:v>
      </x:c>
      <x:c r="S178" s="9" t="str">
        <x:v>2026-08-06</x:v>
      </x:c>
      <x:c r="T178" s="9" t="str">
        <x:v>evidence/server-test-json-final-156.json</x:v>
      </x:c>
      <x:c r="U178" s="9" t="str">
        <x:v>Server: server/src/realtime/realtime-bus.spec.ts :: RealtimeBus broadcasts an opaque finance hint to staff and client rooms only</x:v>
      </x:c>
    </x:row>
    <x:row r="179">
      <x:c r="A179" s="9" t="str">
        <x:v>TASK-001</x:v>
      </x:c>
      <x:c r="B179" s="9" t="str">
        <x:v>Shared Tasks</x:v>
      </x:c>
      <x:c r="C179" s="9" t="str">
        <x:v>Task list</x:v>
      </x:c>
      <x:c r="D179" s="9" t="str">
        <x:v>manager/director/system admin</x:v>
      </x:c>
      <x:c r="E179" s="9" t="str">
        <x:v>Как manager/director/system admin, я хочу видеть единый список задач, чтобы рабочий сценарий был предсказуемым.</x:v>
      </x:c>
      <x:c r="F179" s="9" t="str">
        <x:v>Пользователь вошёл; task capability разрешён.</x:v>
      </x:c>
      <x:c r="G179" s="9" t="str">
        <x:v>Открыть Tasks или linked task surface и выполнить действие.</x:v>
      </x:c>
      <x:c r="H179" s="9" t="str">
        <x:v>Global destination, dashboard and linked cards read one SharedTask model; legacy duplicate path отсутствует.</x:v>
      </x:c>
      <x:c r="I179" s="9" t="str">
        <x:v>task.read</x:v>
      </x:c>
      <x:c r="J179" s="9" t="str">
        <x:v>Windows, Android</x:v>
      </x:c>
      <x:c r="K179" s="9" t="str">
        <x:v>lib/features/manager/presentation/widgets/tasks_widget.dart; lib/features/crm/presentation/client_card</x:v>
      </x:c>
      <x:c r="L179" s="9" t="str">
        <x:v>lib/core/services/magic_crm_service_tasks.dart; server/src/crm/shared-task.controller.ts; server/src/crm/tasks</x:v>
      </x:c>
      <x:c r="M179" s="9" t="str">
        <x:v>test/features/manager/*task*; server/src/crm/tasks/*.spec.ts; docs/audits/v6-canonical-tasks.md</x:v>
      </x:c>
      <x:c r="N179" s="9" t="str">
        <x:v>CODE-BACKED</x:v>
      </x:c>
      <x:c r="O179" s="9" t="str">
        <x:v>PASS</x:v>
      </x:c>
      <x:c r="P179" s="9" t="str">
        <x:v>Post-fix acceptance passed for Task list: 1 exact named test(s) matched and passed on build 1.2.3+156.</x:v>
      </x:c>
      <x:c r="Q179" s="9" t="str"/>
      <x:c r="R179" s="9" t="str">
        <x:v>P0</x:v>
      </x:c>
      <x:c r="S179" s="9" t="str">
        <x:v>2026-08-06</x:v>
      </x:c>
      <x:c r="T179" s="9" t="str">
        <x:v>evidence/server-test-json-final-156.json</x:v>
      </x:c>
      <x:c r="U179" s="9" t="str">
        <x:v>Server: server/src/crm/tasks/shared-task-postgres.integration.spec.ts :: SharedTask API domain (PostgreSQL) uses the dashboard predicate for the open-task detail</x:v>
      </x:c>
    </x:row>
    <x:row r="180">
      <x:c r="A180" s="9" t="str">
        <x:v>TASK-002</x:v>
      </x:c>
      <x:c r="B180" s="9" t="str">
        <x:v>Shared Tasks</x:v>
      </x:c>
      <x:c r="C180" s="9" t="str">
        <x:v>Task filters</x:v>
      </x:c>
      <x:c r="D180" s="9" t="str">
        <x:v>task reader</x:v>
      </x:c>
      <x:c r="E180" s="9" t="str">
        <x:v>Как task reader, я хочу отфильтровать задачи, чтобы рабочий сценарий был предсказуемым.</x:v>
      </x:c>
      <x:c r="F180" s="9" t="str">
        <x:v>Пользователь вошёл; task capability разрешён.</x:v>
      </x:c>
      <x:c r="G180" s="9" t="str">
        <x:v>Открыть Tasks или linked task surface и выполнить действие.</x:v>
      </x:c>
      <x:c r="H180" s="9" t="str">
        <x:v>State/due/audience/link filters применяются без потери current queue semantics.</x:v>
      </x:c>
      <x:c r="I180" s="9" t="str">
        <x:v>task.read</x:v>
      </x:c>
      <x:c r="J180" s="9" t="str">
        <x:v>Windows, Android</x:v>
      </x:c>
      <x:c r="K180" s="9" t="str">
        <x:v>lib/features/manager/presentation/widgets/tasks_widget.dart; lib/features/crm/presentation/client_card</x:v>
      </x:c>
      <x:c r="L180" s="9" t="str">
        <x:v>lib/core/services/magic_crm_service_tasks.dart; server/src/crm/shared-task.controller.ts; server/src/crm/tasks</x:v>
      </x:c>
      <x:c r="M180" s="9" t="str">
        <x:v>test/features/manager/*task*; server/src/crm/tasks/*.spec.ts; docs/audits/v6-canonical-tasks.md</x:v>
      </x:c>
      <x:c r="N180" s="9" t="str">
        <x:v>CODE-BACKED</x:v>
      </x:c>
      <x:c r="O180" s="9" t="str">
        <x:v>PASS</x:v>
      </x:c>
      <x:c r="P180" s="9" t="str">
        <x:v>Post-fix acceptance passed for Task filters: 1 exact named test(s) matched and passed on build 1.2.3+156.</x:v>
      </x:c>
      <x:c r="Q180" s="9" t="str"/>
      <x:c r="R180" s="9" t="str">
        <x:v>P1</x:v>
      </x:c>
      <x:c r="S180" s="9" t="str">
        <x:v>2026-08-06</x:v>
      </x:c>
      <x:c r="T180" s="9" t="str">
        <x:v>evidence/server-test-json-final-156.json</x:v>
      </x:c>
      <x:c r="U180" s="9" t="str">
        <x:v>Server: server/src/crm/tasks/shared-task-postgres.integration.spec.ts :: SharedTask API domain (PostgreSQL) filters, groups by day and lets another manager reassign an open task</x:v>
      </x:c>
    </x:row>
    <x:row r="181">
      <x:c r="A181" s="9" t="str">
        <x:v>TASK-003</x:v>
      </x:c>
      <x:c r="B181" s="9" t="str">
        <x:v>Shared Tasks</x:v>
      </x:c>
      <x:c r="C181" s="9" t="str">
        <x:v>Audience preview</x:v>
      </x:c>
      <x:c r="D181" s="9" t="str">
        <x:v>task writer</x:v>
      </x:c>
      <x:c r="E181" s="9" t="str">
        <x:v>Как task writer, я хочу увидеть получателей до отправки, чтобы рабочий сценарий был предсказуемым.</x:v>
      </x:c>
      <x:c r="F181" s="9" t="str">
        <x:v>Пользователь вошёл; task capability разрешён.</x:v>
      </x:c>
      <x:c r="G181" s="9" t="str">
        <x:v>Открыть Tasks или linked task surface и выполнить действие.</x:v>
      </x:c>
      <x:c r="H181" s="9" t="str">
        <x:v>Preview показывает fixed people + dynamic Branch/School membership, дедуплицирует пересечения и возвращает count.</x:v>
      </x:c>
      <x:c r="I181" s="9" t="str">
        <x:v>task.write + audience scope</x:v>
      </x:c>
      <x:c r="J181" s="9" t="str">
        <x:v>Windows, Android</x:v>
      </x:c>
      <x:c r="K181" s="9" t="str">
        <x:v>lib/features/manager/presentation/widgets/tasks_widget.dart; lib/features/crm/presentation/client_card</x:v>
      </x:c>
      <x:c r="L181" s="9" t="str">
        <x:v>lib/core/services/magic_crm_service_tasks.dart; server/src/crm/shared-task.controller.ts; server/src/crm/tasks</x:v>
      </x:c>
      <x:c r="M181" s="9" t="str">
        <x:v>test/features/manager/*task*; server/src/crm/tasks/*.spec.ts; docs/audits/v6-canonical-tasks.md</x:v>
      </x:c>
      <x:c r="N181" s="9" t="str">
        <x:v>CODE-BACKED</x:v>
      </x:c>
      <x:c r="O181" s="9" t="str">
        <x:v>PASS</x:v>
      </x:c>
      <x:c r="P181" s="9" t="str">
        <x:v>Post-fix acceptance passed for Audience preview: 1 exact named test(s) matched and passed on build 1.2.3+156.</x:v>
      </x:c>
      <x:c r="Q181" s="9" t="str"/>
      <x:c r="R181" s="9" t="str">
        <x:v>P0</x:v>
      </x:c>
      <x:c r="S181" s="9" t="str">
        <x:v>2026-08-06</x:v>
      </x:c>
      <x:c r="T181" s="9" t="str">
        <x:v>evidence/flutter-test-machine-final-156.ndjson</x:v>
      </x:c>
      <x:c r="U181" s="9" t="str">
        <x:v>Flutter: test/features/v4/shared_tasks_ui_test.dart :: recipient preview distinguishes people, branch and school</x:v>
      </x:c>
    </x:row>
    <x:row r="182">
      <x:c r="A182" s="9" t="str">
        <x:v>TASK-004</x:v>
      </x:c>
      <x:c r="B182" s="9" t="str">
        <x:v>Shared Tasks</x:v>
      </x:c>
      <x:c r="C182" s="9" t="str">
        <x:v>Fail-closed preview</x:v>
      </x:c>
      <x:c r="D182" s="9" t="str">
        <x:v>task writer</x:v>
      </x:c>
      <x:c r="E182" s="9" t="str">
        <x:v>Как task writer, я хочу не отправить задачу неизвестной аудитории, чтобы рабочий сценарий был предсказуемым.</x:v>
      </x:c>
      <x:c r="F182" s="9" t="str">
        <x:v>Пользователь вошёл; task capability разрешён.</x:v>
      </x:c>
      <x:c r="G182" s="9" t="str">
        <x:v>Открыть Tasks или linked task surface и выполнить действие.</x:v>
      </x:c>
      <x:c r="H182" s="9" t="str">
        <x:v>Submit blocked, если preview неизвестен/stale или recipient reconciliation не подтверждена.</x:v>
      </x:c>
      <x:c r="I182" s="9" t="str">
        <x:v>task.write</x:v>
      </x:c>
      <x:c r="J182" s="9" t="str">
        <x:v>Windows, Android</x:v>
      </x:c>
      <x:c r="K182" s="9" t="str">
        <x:v>lib/features/manager/presentation/widgets/tasks_widget.dart; lib/features/crm/presentation/client_card</x:v>
      </x:c>
      <x:c r="L182" s="9" t="str">
        <x:v>lib/core/services/magic_crm_service_tasks.dart; server/src/crm/shared-task.controller.ts; server/src/crm/tasks</x:v>
      </x:c>
      <x:c r="M182" s="9" t="str">
        <x:v>test/features/manager/*task*; server/src/crm/tasks/*.spec.ts; docs/audits/v6-canonical-tasks.md</x:v>
      </x:c>
      <x:c r="N182" s="9" t="str">
        <x:v>CODE-BACKED</x:v>
      </x:c>
      <x:c r="O182" s="9" t="str">
        <x:v>PASS</x:v>
      </x:c>
      <x:c r="P182" s="9" t="str">
        <x:v>Post-fix acceptance passed for Fail-closed preview: 1 exact named test(s) matched and passed on build 1.2.3+156.</x:v>
      </x:c>
      <x:c r="Q182" s="9" t="str"/>
      <x:c r="R182" s="9" t="str">
        <x:v>P0</x:v>
      </x:c>
      <x:c r="S182" s="9" t="str">
        <x:v>2026-08-06</x:v>
      </x:c>
      <x:c r="T182" s="9" t="str">
        <x:v>evidence/flutter-test-machine-final-156.ndjson</x:v>
      </x:c>
      <x:c r="U182" s="9" t="str">
        <x:v>Flutter: test/features/v4/shared_tasks_ui_test.dart :: failed recipient preview blocks submit until retry succeeds</x:v>
      </x:c>
    </x:row>
    <x:row r="183">
      <x:c r="A183" s="9" t="str">
        <x:v>TASK-005</x:v>
      </x:c>
      <x:c r="B183" s="9" t="str">
        <x:v>Shared Tasks</x:v>
      </x:c>
      <x:c r="C183" s="9" t="str">
        <x:v>Create task</x:v>
      </x:c>
      <x:c r="D183" s="9" t="str">
        <x:v>task writer</x:v>
      </x:c>
      <x:c r="E183" s="9" t="str">
        <x:v>Как task writer, я хочу создать задачу, чтобы рабочий сценарий был предсказуемым.</x:v>
      </x:c>
      <x:c r="F183" s="9" t="str">
        <x:v>Пользователь вошёл; task capability разрешён.</x:v>
      </x:c>
      <x:c r="G183" s="9" t="str">
        <x:v>Открыть Tasks или linked task surface и выполнить действие.</x:v>
      </x:c>
      <x:c r="H183" s="9" t="str">
        <x:v>Title, all-day/interval, due/reminder, audience and optional typed link сохраняются один раз.</x:v>
      </x:c>
      <x:c r="I183" s="9" t="str">
        <x:v>task.write</x:v>
      </x:c>
      <x:c r="J183" s="9" t="str">
        <x:v>Windows, Android</x:v>
      </x:c>
      <x:c r="K183" s="9" t="str">
        <x:v>lib/features/manager/presentation/widgets/tasks_widget.dart; lib/features/crm/presentation/client_card</x:v>
      </x:c>
      <x:c r="L183" s="9" t="str">
        <x:v>lib/core/services/magic_crm_service_tasks.dart; server/src/crm/shared-task.controller.ts; server/src/crm/tasks</x:v>
      </x:c>
      <x:c r="M183" s="9" t="str">
        <x:v>test/features/manager/*task*; server/src/crm/tasks/*.spec.ts; docs/audits/v6-canonical-tasks.md</x:v>
      </x:c>
      <x:c r="N183" s="9" t="str">
        <x:v>CODE-BACKED</x:v>
      </x:c>
      <x:c r="O183" s="9" t="str">
        <x:v>PASS</x:v>
      </x:c>
      <x:c r="P183" s="9" t="str">
        <x:v>Post-fix acceptance passed for Create task: 1 exact named test(s) matched and passed on build 1.2.3+156.</x:v>
      </x:c>
      <x:c r="Q183" s="9" t="str"/>
      <x:c r="R183" s="9" t="str">
        <x:v>P0</x:v>
      </x:c>
      <x:c r="S183" s="9" t="str">
        <x:v>2026-08-06</x:v>
      </x:c>
      <x:c r="T183" s="9" t="str">
        <x:v>evidence/server-test-json-final-156.json</x:v>
      </x:c>
      <x:c r="U183" s="9" t="str">
        <x:v>Server: server/src/crm/tasks/shared-task-postgres.integration.spec.ts :: SharedTask API domain (PostgreSQL) deduplicates create and resolves branch membership at request time</x:v>
      </x:c>
    </x:row>
    <x:row r="184">
      <x:c r="A184" s="9" t="str">
        <x:v>TASK-006</x:v>
      </x:c>
      <x:c r="B184" s="9" t="str">
        <x:v>Shared Tasks</x:v>
      </x:c>
      <x:c r="C184" s="9" t="str">
        <x:v>Update task</x:v>
      </x:c>
      <x:c r="D184" s="9" t="str">
        <x:v>task writer</x:v>
      </x:c>
      <x:c r="E184" s="9" t="str">
        <x:v>Как task writer, я хочу изменить задачу, чтобы рабочий сценарий был предсказуемым.</x:v>
      </x:c>
      <x:c r="F184" s="9" t="str">
        <x:v>Пользователь вошёл; task capability разрешён.</x:v>
      </x:c>
      <x:c r="G184" s="9" t="str">
        <x:v>Открыть Tasks или linked task surface и выполнить действие.</x:v>
      </x:c>
      <x:c r="H184" s="9" t="str">
        <x:v>Expected version защищает от stale edit; новый audience снова previewed.</x:v>
      </x:c>
      <x:c r="I184" s="9" t="str">
        <x:v>task.write</x:v>
      </x:c>
      <x:c r="J184" s="9" t="str">
        <x:v>Windows, Android</x:v>
      </x:c>
      <x:c r="K184" s="9" t="str">
        <x:v>lib/features/manager/presentation/widgets/tasks_widget.dart; lib/features/crm/presentation/client_card</x:v>
      </x:c>
      <x:c r="L184" s="9" t="str">
        <x:v>lib/core/services/magic_crm_service_tasks.dart; server/src/crm/shared-task.controller.ts; server/src/crm/tasks</x:v>
      </x:c>
      <x:c r="M184" s="9" t="str">
        <x:v>test/features/manager/*task*; server/src/crm/tasks/*.spec.ts; docs/audits/v6-canonical-tasks.md</x:v>
      </x:c>
      <x:c r="N184" s="9" t="str">
        <x:v>CODE-BACKED</x:v>
      </x:c>
      <x:c r="O184" s="9" t="str">
        <x:v>PASS</x:v>
      </x:c>
      <x:c r="P184" s="9" t="str">
        <x:v>Post-fix acceptance passed for Update task: 1 exact named test(s) matched and passed on build 1.2.3+156.</x:v>
      </x:c>
      <x:c r="Q184" s="9" t="str"/>
      <x:c r="R184" s="9" t="str">
        <x:v>P0</x:v>
      </x:c>
      <x:c r="S184" s="9" t="str">
        <x:v>2026-08-06</x:v>
      </x:c>
      <x:c r="T184" s="9" t="str">
        <x:v>evidence/server-test-json-final-156.json</x:v>
      </x:c>
      <x:c r="U184" s="9" t="str">
        <x:v>Server: server/src/crm/tasks/shared-task-postgres.integration.spec.ts :: SharedTask API domain (PostgreSQL) filters, groups by day and lets another manager reassign an open task</x:v>
      </x:c>
    </x:row>
    <x:row r="185">
      <x:c r="A185" s="9" t="str">
        <x:v>TASK-007</x:v>
      </x:c>
      <x:c r="B185" s="9" t="str">
        <x:v>Shared Tasks</x:v>
      </x:c>
      <x:c r="C185" s="9" t="str">
        <x:v>Close task</x:v>
      </x:c>
      <x:c r="D185" s="9" t="str">
        <x:v>task assignee/writer</x:v>
      </x:c>
      <x:c r="E185" s="9" t="str">
        <x:v>Как task assignee/writer, я хочу закрыть задачу, чтобы рабочий сценарий был предсказуемым.</x:v>
      </x:c>
      <x:c r="F185" s="9" t="str">
        <x:v>Пользователь вошёл; task capability разрешён.</x:v>
      </x:c>
      <x:c r="G185" s="9" t="str">
        <x:v>Открыть Tasks или linked task surface и выполнить действие.</x:v>
      </x:c>
      <x:c r="H185" s="9" t="str">
        <x:v>Close transition выполняется один раз и сразу виден в global/client/lead surfaces.</x:v>
      </x:c>
      <x:c r="I185" s="9" t="str">
        <x:v>task close policy</x:v>
      </x:c>
      <x:c r="J185" s="9" t="str">
        <x:v>Windows, Android</x:v>
      </x:c>
      <x:c r="K185" s="9" t="str">
        <x:v>lib/features/manager/presentation/widgets/tasks_widget.dart; lib/features/crm/presentation/client_card</x:v>
      </x:c>
      <x:c r="L185" s="9" t="str">
        <x:v>lib/core/services/magic_crm_service_tasks.dart; server/src/crm/shared-task.controller.ts; server/src/crm/tasks</x:v>
      </x:c>
      <x:c r="M185" s="9" t="str">
        <x:v>test/features/manager/*task*; server/src/crm/tasks/*.spec.ts; docs/audits/v6-canonical-tasks.md</x:v>
      </x:c>
      <x:c r="N185" s="9" t="str">
        <x:v>CODE-BACKED</x:v>
      </x:c>
      <x:c r="O185" s="9" t="str">
        <x:v>PASS</x:v>
      </x:c>
      <x:c r="P185" s="9" t="str">
        <x:v>Post-fix acceptance passed for Close task: 1 exact named test(s) matched and passed on build 1.2.3+156.</x:v>
      </x:c>
      <x:c r="Q185" s="9" t="str"/>
      <x:c r="R185" s="9" t="str">
        <x:v>P0</x:v>
      </x:c>
      <x:c r="S185" s="9" t="str">
        <x:v>2026-08-06</x:v>
      </x:c>
      <x:c r="T185" s="9" t="str">
        <x:v>evidence/server-test-json-final-156.json</x:v>
      </x:c>
      <x:c r="U185" s="9" t="str">
        <x:v>Server: server/src/crm/tasks/shared-task-postgres.integration.spec.ts :: SharedTask API domain (PostgreSQL) returns one stable result when two current audience members close concurrently</x:v>
      </x:c>
    </x:row>
    <x:row r="186">
      <x:c r="A186" s="9" t="str">
        <x:v>TASK-008</x:v>
      </x:c>
      <x:c r="B186" s="9" t="str">
        <x:v>Shared Tasks</x:v>
      </x:c>
      <x:c r="C186" s="9" t="str">
        <x:v>Task history</x:v>
      </x:c>
      <x:c r="D186" s="9" t="str">
        <x:v>task reader</x:v>
      </x:c>
      <x:c r="E186" s="9" t="str">
        <x:v>Как task reader, я хочу увидеть историю, чтобы рабочий сценарий был предсказуемым.</x:v>
      </x:c>
      <x:c r="F186" s="9" t="str">
        <x:v>Пользователь вошёл; task capability разрешён.</x:v>
      </x:c>
      <x:c r="G186" s="9" t="str">
        <x:v>Открыть Tasks или linked task surface и выполнить действие.</x:v>
      </x:c>
      <x:c r="H186" s="9" t="str">
        <x:v>History содержит create/update/close actors/times without rewriting prior events.</x:v>
      </x:c>
      <x:c r="I186" s="9" t="str">
        <x:v>task.read</x:v>
      </x:c>
      <x:c r="J186" s="9" t="str">
        <x:v>Windows, Android</x:v>
      </x:c>
      <x:c r="K186" s="9" t="str">
        <x:v>lib/features/manager/presentation/widgets/tasks_widget.dart; lib/features/crm/presentation/client_card</x:v>
      </x:c>
      <x:c r="L186" s="9" t="str">
        <x:v>lib/core/services/magic_crm_service_tasks.dart; server/src/crm/shared-task.controller.ts; server/src/crm/tasks</x:v>
      </x:c>
      <x:c r="M186" s="9" t="str">
        <x:v>test/features/manager/*task*; server/src/crm/tasks/*.spec.ts; docs/audits/v6-canonical-tasks.md</x:v>
      </x:c>
      <x:c r="N186" s="9" t="str">
        <x:v>CODE-BACKED</x:v>
      </x:c>
      <x:c r="O186" s="9" t="str">
        <x:v>PASS</x:v>
      </x:c>
      <x:c r="P186" s="9" t="str">
        <x:v>Post-fix acceptance passed for Task history: 1 exact named test(s) matched and passed on build 1.2.3+156.</x:v>
      </x:c>
      <x:c r="Q186" s="9" t="str"/>
      <x:c r="R186" s="9" t="str">
        <x:v>P1</x:v>
      </x:c>
      <x:c r="S186" s="9" t="str">
        <x:v>2026-08-06</x:v>
      </x:c>
      <x:c r="T186" s="9" t="str">
        <x:v>evidence/flutter-test-machine-final-156.ndjson</x:v>
      </x:c>
      <x:c r="U186" s="9" t="str">
        <x:v>Flutter: test/features/v4/shared_tasks_ui_test.dart :: direct task link uses canonical filters and opens history</x:v>
      </x:c>
    </x:row>
    <x:row r="187">
      <x:c r="A187" s="9" t="str">
        <x:v>TASK-009</x:v>
      </x:c>
      <x:c r="B187" s="9" t="str">
        <x:v>Shared Tasks</x:v>
      </x:c>
      <x:c r="C187" s="9" t="str">
        <x:v>Task calendar</x:v>
      </x:c>
      <x:c r="D187" s="9" t="str">
        <x:v>task reader</x:v>
      </x:c>
      <x:c r="E187" s="9" t="str">
        <x:v>Как task reader, я хочу видеть задачи по времени, чтобы рабочий сценарий был предсказуемым.</x:v>
      </x:c>
      <x:c r="F187" s="9" t="str">
        <x:v>Пользователь вошёл; task capability разрешён.</x:v>
      </x:c>
      <x:c r="G187" s="9" t="str">
        <x:v>Открыть Tasks или linked task surface и выполнить действие.</x:v>
      </x:c>
      <x:c r="H187" s="9" t="str">
        <x:v>Calendar uses due/all-day/interval contract и не смешивает неприменимый dashboard period scope.</x:v>
      </x:c>
      <x:c r="I187" s="9" t="str">
        <x:v>task.read</x:v>
      </x:c>
      <x:c r="J187" s="9" t="str">
        <x:v>Windows, Android</x:v>
      </x:c>
      <x:c r="K187" s="9" t="str">
        <x:v>lib/features/manager/presentation/widgets/tasks_widget.dart; lib/features/crm/presentation/client_card</x:v>
      </x:c>
      <x:c r="L187" s="9" t="str">
        <x:v>lib/core/services/magic_crm_service_tasks.dart; server/src/crm/shared-task.controller.ts; server/src/crm/tasks</x:v>
      </x:c>
      <x:c r="M187" s="9" t="str">
        <x:v>test/features/manager/*task*; server/src/crm/tasks/*.spec.ts; docs/audits/v6-canonical-tasks.md</x:v>
      </x:c>
      <x:c r="N187" s="9" t="str">
        <x:v>CODE-BACKED</x:v>
      </x:c>
      <x:c r="O187" s="9" t="str">
        <x:v>PASS</x:v>
      </x:c>
      <x:c r="P187" s="9" t="str">
        <x:v>Post-fix acceptance passed for Task calendar: 1 exact named test(s) matched and passed on build 1.2.3+156.</x:v>
      </x:c>
      <x:c r="Q187" s="9" t="str"/>
      <x:c r="R187" s="9" t="str">
        <x:v>P1</x:v>
      </x:c>
      <x:c r="S187" s="9" t="str">
        <x:v>2026-08-06</x:v>
      </x:c>
      <x:c r="T187" s="9" t="str">
        <x:v>evidence/flutter-test-machine-final-156.ndjson</x:v>
      </x:c>
      <x:c r="U187" s="9" t="str">
        <x:v>Flutter: test/core/services/magic_crm_service_test.dart :: MagicCrmService uses canonical task filters and calendar</x:v>
      </x:c>
    </x:row>
    <x:row r="188">
      <x:c r="A188" s="9" t="str">
        <x:v>TASK-010</x:v>
      </x:c>
      <x:c r="B188" s="9" t="str">
        <x:v>Shared Tasks</x:v>
      </x:c>
      <x:c r="C188" s="9" t="str">
        <x:v>Client linked tasks</x:v>
      </x:c>
      <x:c r="D188" s="9" t="str">
        <x:v>staff пользователь</x:v>
      </x:c>
      <x:c r="E188" s="9" t="str">
        <x:v>Как staff пользователь, я хочу работать с задачами клиента, чтобы рабочий сценарий был предсказуемым.</x:v>
      </x:c>
      <x:c r="F188" s="9" t="str">
        <x:v>Пользователь вошёл; task capability разрешён.</x:v>
      </x:c>
      <x:c r="G188" s="9" t="str">
        <x:v>Открыть Tasks или linked task surface и выполнить действие.</x:v>
      </x:c>
      <x:c r="H188" s="9" t="str">
        <x:v>Client card показывает те же SharedTasks; linked entity opens canonical client route.</x:v>
      </x:c>
      <x:c r="I188" s="9" t="str">
        <x:v>task.read + client scope</x:v>
      </x:c>
      <x:c r="J188" s="9" t="str">
        <x:v>Windows, Android</x:v>
      </x:c>
      <x:c r="K188" s="9" t="str">
        <x:v>lib/features/manager/presentation/widgets/tasks_widget.dart; lib/features/crm/presentation/client_card</x:v>
      </x:c>
      <x:c r="L188" s="9" t="str">
        <x:v>lib/core/services/magic_crm_service_tasks.dart; server/src/crm/shared-task.controller.ts; server/src/crm/tasks</x:v>
      </x:c>
      <x:c r="M188" s="9" t="str">
        <x:v>test/features/manager/*task*; server/src/crm/tasks/*.spec.ts; docs/audits/v6-canonical-tasks.md</x:v>
      </x:c>
      <x:c r="N188" s="9" t="str">
        <x:v>CODE-BACKED</x:v>
      </x:c>
      <x:c r="O188" s="9" t="str">
        <x:v>PASS</x:v>
      </x:c>
      <x:c r="P188" s="9" t="str">
        <x:v>Post-fix acceptance passed for Client linked tasks: 1 exact named test(s) matched and passed on build 1.2.3+156.</x:v>
      </x:c>
      <x:c r="Q188" s="9" t="str"/>
      <x:c r="R188" s="9" t="str">
        <x:v>P0</x:v>
      </x:c>
      <x:c r="S188" s="9" t="str">
        <x:v>2026-08-06</x:v>
      </x:c>
      <x:c r="T188" s="9" t="str">
        <x:v>evidence/server-test-json-final-156.json</x:v>
      </x:c>
      <x:c r="U188" s="9" t="str">
        <x:v>Server: server/src/crm/clients/client-card.integration.spec.ts :: ClientCardReadService (PostgreSQL) keeps client Tasks out of the Admin projection</x:v>
      </x:c>
    </x:row>
    <x:row r="189">
      <x:c r="A189" s="9" t="str">
        <x:v>TASK-011</x:v>
      </x:c>
      <x:c r="B189" s="9" t="str">
        <x:v>Shared Tasks</x:v>
      </x:c>
      <x:c r="C189" s="9" t="str">
        <x:v>Lead quick task</x:v>
      </x:c>
      <x:c r="D189" s="9" t="str">
        <x:v>staff пользователь</x:v>
      </x:c>
      <x:c r="E189" s="9" t="str">
        <x:v>Как staff пользователь, я хочу создать задачу из Lead, чтобы рабочий сценарий был предсказуемым.</x:v>
      </x:c>
      <x:c r="F189" s="9" t="str">
        <x:v>Пользователь вошёл; task capability разрешён.</x:v>
      </x:c>
      <x:c r="G189" s="9" t="str">
        <x:v>Открыть Tasks или linked task surface и выполнить действие.</x:v>
      </x:c>
      <x:c r="H189" s="9" t="str">
        <x:v>Quick action pre-fills canonical Lead link and uses the same editor/provider.</x:v>
      </x:c>
      <x:c r="I189" s="9" t="str">
        <x:v>task.write + client scope</x:v>
      </x:c>
      <x:c r="J189" s="9" t="str">
        <x:v>Windows, Android</x:v>
      </x:c>
      <x:c r="K189" s="9" t="str">
        <x:v>lib/features/manager/presentation/widgets/tasks_widget.dart; lib/features/crm/presentation/client_card</x:v>
      </x:c>
      <x:c r="L189" s="9" t="str">
        <x:v>lib/core/services/magic_crm_service_tasks.dart; server/src/crm/shared-task.controller.ts; server/src/crm/tasks</x:v>
      </x:c>
      <x:c r="M189" s="9" t="str">
        <x:v>test/features/manager/*task*; server/src/crm/tasks/*.spec.ts; docs/audits/v6-canonical-tasks.md</x:v>
      </x:c>
      <x:c r="N189" s="9" t="str">
        <x:v>CODE-BACKED</x:v>
      </x:c>
      <x:c r="O189" s="9" t="str">
        <x:v>PASS</x:v>
      </x:c>
      <x:c r="P189" s="9" t="str">
        <x:v>Post-fix acceptance passed for Lead quick task: 1 exact named test(s) matched and passed on build 1.2.3+156.</x:v>
      </x:c>
      <x:c r="Q189" s="9" t="str"/>
      <x:c r="R189" s="9" t="str">
        <x:v>P1</x:v>
      </x:c>
      <x:c r="S189" s="9" t="str">
        <x:v>2026-08-06</x:v>
      </x:c>
      <x:c r="T189" s="9" t="str">
        <x:v>evidence/flutter-test-machine-final-156.ndjson</x:v>
      </x:c>
      <x:c r="U189" s="9" t="str">
        <x:v>Flutter: test/features/crm/client_card/client_card_task_expand_test.dart :: задача в карточке лида раскрывается по тапу</x:v>
      </x:c>
    </x:row>
    <x:row r="190">
      <x:c r="A190" s="9" t="str">
        <x:v>TASK-012</x:v>
      </x:c>
      <x:c r="B190" s="9" t="str">
        <x:v>Shared Tasks</x:v>
      </x:c>
      <x:c r="C190" s="9" t="str">
        <x:v>Task hard deny</x:v>
      </x:c>
      <x:c r="D190" s="9" t="str">
        <x:v>admin/teacher/client</x:v>
      </x:c>
      <x:c r="E190" s="9" t="str">
        <x:v>Как admin/teacher/client, я хочу не получать недоступные задачи, чтобы рабочий сценарий был предсказуемым.</x:v>
      </x:c>
      <x:c r="F190" s="9" t="str">
        <x:v>Пользователь вошёл; task capability разрешён.</x:v>
      </x:c>
      <x:c r="G190" s="9" t="str">
        <x:v>Открыть Tasks или linked task surface и выполнить действие.</x:v>
      </x:c>
      <x:c r="H190" s="9" t="str">
        <x:v>Destination/actions/providers absent; forbidden actor не отправляет task requests.</x:v>
      </x:c>
      <x:c r="I190" s="9" t="str">
        <x:v>persona ceiling</x:v>
      </x:c>
      <x:c r="J190" s="9" t="str">
        <x:v>Windows, Android</x:v>
      </x:c>
      <x:c r="K190" s="9" t="str">
        <x:v>lib/features/manager/presentation/widgets/tasks_widget.dart; lib/features/crm/presentation/client_card</x:v>
      </x:c>
      <x:c r="L190" s="9" t="str">
        <x:v>lib/core/services/magic_crm_service_tasks.dart; server/src/crm/shared-task.controller.ts; server/src/crm/tasks</x:v>
      </x:c>
      <x:c r="M190" s="9" t="str">
        <x:v>test/features/manager/*task*; server/src/crm/tasks/*.spec.ts; docs/audits/v6-canonical-tasks.md</x:v>
      </x:c>
      <x:c r="N190" s="9" t="str">
        <x:v>CODE-BACKED</x:v>
      </x:c>
      <x:c r="O190" s="9" t="str">
        <x:v>PASS</x:v>
      </x:c>
      <x:c r="P190" s="9" t="str">
        <x:v>Post-fix acceptance passed for Task hard deny: 1 exact named test(s) matched and passed on build 1.2.3+156.</x:v>
      </x:c>
      <x:c r="Q190" s="9" t="str"/>
      <x:c r="R190" s="9" t="str">
        <x:v>P0</x:v>
      </x:c>
      <x:c r="S190" s="9" t="str">
        <x:v>2026-08-06</x:v>
      </x:c>
      <x:c r="T190" s="9" t="str">
        <x:v>evidence/flutter-test-machine-final-156.ndjson</x:v>
      </x:c>
      <x:c r="U190" s="9" t="str">
        <x:v>Flutter: test/features/messenger/tasks_navigation_test.dart :: admin never mounts or requests the Tasks destination</x:v>
      </x:c>
    </x:row>
    <x:row r="191">
      <x:c r="A191" s="9" t="str">
        <x:v>ANA-001</x:v>
      </x:c>
      <x:c r="B191" s="9" t="str">
        <x:v>Dashboard &amp; Analytics</x:v>
      </x:c>
      <x:c r="C191" s="9" t="str">
        <x:v>Unified dashboard</x:v>
      </x:c>
      <x:c r="D191" s="9" t="str">
        <x:v>manager/director/system admin</x:v>
      </x:c>
      <x:c r="E191" s="9" t="str">
        <x:v>Как manager/director/system admin, я хочу видеть единую business сводку, чтобы рабочий сценарий был предсказуемым.</x:v>
      </x:c>
      <x:c r="F191" s="9" t="str">
        <x:v>Пользователь вошёл; нужная analytics capability разрешена.</x:v>
      </x:c>
      <x:c r="G191" s="9" t="str">
        <x:v>Открыть Overview/Analytics, изменить filters или drilldown/export.</x:v>
      </x:c>
      <x:c r="H191" s="9" t="str">
        <x:v>Один production dashboard заменяет параллельные Reports/Finance/Summary paths и показывает capability-projected sections.</x:v>
      </x:c>
      <x:c r="I191" s="9" t="str">
        <x:v>analytics read</x:v>
      </x:c>
      <x:c r="J191" s="9" t="str">
        <x:v>Windows, Android</x:v>
      </x:c>
      <x:c r="K191" s="9" t="str">
        <x:v>lib/features/manager/presentation/widgets/reports_widget.dart</x:v>
      </x:c>
      <x:c r="L191" s="9" t="str">
        <x:v>lib/core/services/magic_crm_service_finance.dart; server/src/analytics; server/src/crm/crm-dashboard.controller.ts</x:v>
      </x:c>
      <x:c r="M191" s="9" t="str">
        <x:v>test/features/manager/*report*; server/src/analytics/*.spec.ts; docs/audits/v6-unified-dashboard.md</x:v>
      </x:c>
      <x:c r="N191" s="9" t="str">
        <x:v>CODE-BACKED</x:v>
      </x:c>
      <x:c r="O191" s="9" t="str">
        <x:v>RETEST PASS</x:v>
      </x:c>
      <x:c r="P191" s="9" t="str">
        <x:v>Unified Analytics opened on compact Android with lesson and funnel sections only; no school-finance section was mounted.</x:v>
      </x:c>
      <x:c r="Q191" s="9" t="str">
        <x:v>ERR-006</x:v>
      </x:c>
      <x:c r="R191" s="9" t="str">
        <x:v>P0</x:v>
      </x:c>
      <x:c r="S191" s="9" t="str">
        <x:v>2026-08-06</x:v>
      </x:c>
      <x:c r="T191" s="9" t="str">
        <x:v>evidence/postfix-manager-analytics.txt</x:v>
      </x:c>
      <x:c r="U191" s="9" t="str">
        <x:v>One dashboard remains canonical.</x:v>
      </x:c>
    </x:row>
    <x:row r="192">
      <x:c r="A192" s="9" t="str">
        <x:v>ANA-002</x:v>
      </x:c>
      <x:c r="B192" s="9" t="str">
        <x:v>Dashboard &amp; Analytics</x:v>
      </x:c>
      <x:c r="C192" s="9" t="str">
        <x:v>Period filter</x:v>
      </x:c>
      <x:c r="D192" s="9" t="str">
        <x:v>dashboard user</x:v>
      </x:c>
      <x:c r="E192" s="9" t="str">
        <x:v>Как dashboard user, я хочу выбрать период, чтобы рабочий сценарий был предсказуемым.</x:v>
      </x:c>
      <x:c r="F192" s="9" t="str">
        <x:v>Пользователь вошёл; нужная analytics capability разрешена.</x:v>
      </x:c>
      <x:c r="G192" s="9" t="str">
        <x:v>Открыть Overview/Analytics, изменить filters или drilldown/export.</x:v>
      </x:c>
      <x:c r="H192" s="9" t="str">
        <x:v>Один normalized period применяется ко всем applicable sections and drilldowns и сохраняется в workspace/direct-link state.</x:v>
      </x:c>
      <x:c r="I192" s="9" t="str">
        <x:v>analytics read</x:v>
      </x:c>
      <x:c r="J192" s="9" t="str">
        <x:v>Windows, Android</x:v>
      </x:c>
      <x:c r="K192" s="9" t="str">
        <x:v>lib/features/manager/presentation/widgets/reports_widget.dart</x:v>
      </x:c>
      <x:c r="L192" s="9" t="str">
        <x:v>lib/core/services/magic_crm_service_finance.dart; server/src/analytics; server/src/crm/crm-dashboard.controller.ts</x:v>
      </x:c>
      <x:c r="M192" s="9" t="str">
        <x:v>test/features/manager/*report*; server/src/analytics/*.spec.ts; docs/audits/v6-unified-dashboard.md</x:v>
      </x:c>
      <x:c r="N192" s="9" t="str">
        <x:v>CODE-BACKED</x:v>
      </x:c>
      <x:c r="O192" s="9" t="str">
        <x:v>PASS</x:v>
      </x:c>
      <x:c r="P192" s="9" t="str">
        <x:v>Post-fix acceptance passed for Period filter: 1 exact named test(s) matched and passed on build 1.2.3+156.</x:v>
      </x:c>
      <x:c r="Q192" s="9" t="str"/>
      <x:c r="R192" s="9" t="str">
        <x:v>P0</x:v>
      </x:c>
      <x:c r="S192" s="9" t="str">
        <x:v>2026-08-06</x:v>
      </x:c>
      <x:c r="T192" s="9" t="str">
        <x:v>evidence/flutter-test-machine-final-156.ndjson</x:v>
      </x:c>
      <x:c r="U192" s="9" t="str">
        <x:v>Flutter: test/features/v4/reporting_drilldown_test.dart :: dashboard filter restores from workspace and direct-link state</x:v>
      </x:c>
    </x:row>
    <x:row r="193">
      <x:c r="A193" s="9" t="str">
        <x:v>ANA-003</x:v>
      </x:c>
      <x:c r="B193" s="9" t="str">
        <x:v>Dashboard &amp; Analytics</x:v>
      </x:c>
      <x:c r="C193" s="9" t="str">
        <x:v>Branch filter</x:v>
      </x:c>
      <x:c r="D193" s="9" t="str">
        <x:v>dashboard user</x:v>
      </x:c>
      <x:c r="E193" s="9" t="str">
        <x:v>Как dashboard user, я хочу выбрать branch scope, чтобы рабочий сценарий был предсказуемым.</x:v>
      </x:c>
      <x:c r="F193" s="9" t="str">
        <x:v>Пользователь вошёл; нужная analytics capability разрешена.</x:v>
      </x:c>
      <x:c r="G193" s="9" t="str">
        <x:v>Открыть Overview/Analytics, изменить filters или drilldown/export.</x:v>
      </x:c>
      <x:c r="H193" s="9" t="str">
        <x:v>Один разрешённый branch filter применяется к clients/lessons/permitted finance/export.</x:v>
      </x:c>
      <x:c r="I193" s="9" t="str">
        <x:v>assigned branches</x:v>
      </x:c>
      <x:c r="J193" s="9" t="str">
        <x:v>Windows, Android</x:v>
      </x:c>
      <x:c r="K193" s="9" t="str">
        <x:v>lib/features/manager/presentation/widgets/reports_widget.dart</x:v>
      </x:c>
      <x:c r="L193" s="9" t="str">
        <x:v>lib/core/services/magic_crm_service_finance.dart; server/src/analytics; server/src/crm/crm-dashboard.controller.ts</x:v>
      </x:c>
      <x:c r="M193" s="9" t="str">
        <x:v>test/features/manager/*report*; server/src/analytics/*.spec.ts; docs/audits/v6-unified-dashboard.md</x:v>
      </x:c>
      <x:c r="N193" s="9" t="str">
        <x:v>CODE-BACKED</x:v>
      </x:c>
      <x:c r="O193" s="9" t="str">
        <x:v>PASS</x:v>
      </x:c>
      <x:c r="P193" s="9" t="str">
        <x:v>Post-fix acceptance passed for Branch filter: 1 exact named test(s) matched and passed on build 1.2.3+156.</x:v>
      </x:c>
      <x:c r="Q193" s="9" t="str"/>
      <x:c r="R193" s="9" t="str">
        <x:v>P0</x:v>
      </x:c>
      <x:c r="S193" s="9" t="str">
        <x:v>2026-08-06</x:v>
      </x:c>
      <x:c r="T193" s="9" t="str">
        <x:v>evidence/server-test-json-final-156.json</x:v>
      </x:c>
      <x:c r="U193" s="9" t="str">
        <x:v>Server: server/src/crm/dashboard.service.spec.ts :: DashboardService returns manager dashboard KPIs with period and branch filters</x:v>
      </x:c>
    </x:row>
    <x:row r="194">
      <x:c r="A194" s="9" t="str">
        <x:v>ANA-004</x:v>
      </x:c>
      <x:c r="B194" s="9" t="str">
        <x:v>Dashboard &amp; Analytics</x:v>
      </x:c>
      <x:c r="C194" s="9" t="str">
        <x:v>Independent section states</x:v>
      </x:c>
      <x:c r="D194" s="9" t="str">
        <x:v>dashboard user</x:v>
      </x:c>
      <x:c r="E194" s="9" t="str">
        <x:v>Как dashboard user, я хочу работать при частичной ошибке, чтобы рабочий сценарий был предсказуемым.</x:v>
      </x:c>
      <x:c r="F194" s="9" t="str">
        <x:v>Пользователь вошёл; нужная analytics capability разрешена.</x:v>
      </x:c>
      <x:c r="G194" s="9" t="str">
        <x:v>Открыть Overview/Analytics, изменить filters или drilldown/export.</x:v>
      </x:c>
      <x:c r="H194" s="9" t="str">
        <x:v>Каждая section имеет собственные loading/error/retry; ошибка одной не скрывает успешные другие.</x:v>
      </x:c>
      <x:c r="I194" s="9" t="str">
        <x:v>analytics read</x:v>
      </x:c>
      <x:c r="J194" s="9" t="str">
        <x:v>Windows, Android</x:v>
      </x:c>
      <x:c r="K194" s="9" t="str">
        <x:v>lib/features/manager/presentation/widgets/reports_widget.dart</x:v>
      </x:c>
      <x:c r="L194" s="9" t="str">
        <x:v>lib/core/services/magic_crm_service_finance.dart; server/src/analytics; server/src/crm/crm-dashboard.controller.ts</x:v>
      </x:c>
      <x:c r="M194" s="9" t="str">
        <x:v>test/features/manager/*report*; server/src/analytics/*.spec.ts; docs/audits/v6-unified-dashboard.md</x:v>
      </x:c>
      <x:c r="N194" s="9" t="str">
        <x:v>CODE-BACKED</x:v>
      </x:c>
      <x:c r="O194" s="9" t="str">
        <x:v>PASS</x:v>
      </x:c>
      <x:c r="P194" s="9" t="str">
        <x:v>Post-fix acceptance passed for Independent section states: 1 exact named test(s) matched and passed on build 1.2.3+156.</x:v>
      </x:c>
      <x:c r="Q194" s="9" t="str"/>
      <x:c r="R194" s="9" t="str">
        <x:v>P1</x:v>
      </x:c>
      <x:c r="S194" s="9" t="str">
        <x:v>2026-08-06</x:v>
      </x:c>
      <x:c r="T194" s="9" t="str">
        <x:v>evidence/flutter-test-machine-final-156.ndjson</x:v>
      </x:c>
      <x:c r="U194" s="9" t="str">
        <x:v>Flutter: test/features/v4/reporting_drilldown_test.dart :: one failed section keeps the rest of dashboard usable</x:v>
      </x:c>
    </x:row>
    <x:row r="195">
      <x:c r="A195" s="9" t="str">
        <x:v>ANA-005</x:v>
      </x:c>
      <x:c r="B195" s="9" t="str">
        <x:v>Dashboard &amp; Analytics</x:v>
      </x:c>
      <x:c r="C195" s="9" t="str">
        <x:v>Client status summary</x:v>
      </x:c>
      <x:c r="D195" s="9" t="str">
        <x:v>dashboard user</x:v>
      </x:c>
      <x:c r="E195" s="9" t="str">
        <x:v>Как dashboard user, я хочу увидеть counts по статусам, чтобы рабочий сценарий был предсказуемым.</x:v>
      </x:c>
      <x:c r="F195" s="9" t="str">
        <x:v>Пользователь вошёл; нужная analytics capability разрешена.</x:v>
      </x:c>
      <x:c r="G195" s="9" t="str">
        <x:v>Открыть Overview/Analytics, изменить filters или drilldown/export.</x:v>
      </x:c>
      <x:c r="H195" s="9" t="str">
        <x:v>Counts используют effective pipeline и совпадают с drilldown под теми же filters.</x:v>
      </x:c>
      <x:c r="I195" s="9" t="str">
        <x:v>analytics client scope</x:v>
      </x:c>
      <x:c r="J195" s="9" t="str">
        <x:v>Windows, Android</x:v>
      </x:c>
      <x:c r="K195" s="9" t="str">
        <x:v>lib/features/manager/presentation/widgets/reports_widget.dart</x:v>
      </x:c>
      <x:c r="L195" s="9" t="str">
        <x:v>lib/core/services/magic_crm_service_finance.dart; server/src/analytics; server/src/crm/crm-dashboard.controller.ts</x:v>
      </x:c>
      <x:c r="M195" s="9" t="str">
        <x:v>test/features/manager/*report*; server/src/analytics/*.spec.ts; docs/audits/v6-unified-dashboard.md</x:v>
      </x:c>
      <x:c r="N195" s="9" t="str">
        <x:v>CODE-BACKED</x:v>
      </x:c>
      <x:c r="O195" s="9" t="str">
        <x:v>PASS</x:v>
      </x:c>
      <x:c r="P195" s="9" t="str">
        <x:v>Post-fix acceptance passed for Client status summary: 1 exact named test(s) matched and passed on build 1.2.3+156.</x:v>
      </x:c>
      <x:c r="Q195" s="9" t="str"/>
      <x:c r="R195" s="9" t="str">
        <x:v>P0</x:v>
      </x:c>
      <x:c r="S195" s="9" t="str">
        <x:v>2026-08-06</x:v>
      </x:c>
      <x:c r="T195" s="9" t="str">
        <x:v>evidence/server-test-json-final-156.json</x:v>
      </x:c>
      <x:c r="U195" s="9" t="str">
        <x:v>Server: server/src/analytics/client-status-postgres.integration.spec.ts :: ClientStatusReadService (PostgreSQL) uses one scoped filter for summary and drilldown totals</x:v>
      </x:c>
    </x:row>
    <x:row r="196">
      <x:c r="A196" s="9" t="str">
        <x:v>ANA-006</x:v>
      </x:c>
      <x:c r="B196" s="9" t="str">
        <x:v>Dashboard &amp; Analytics</x:v>
      </x:c>
      <x:c r="C196" s="9" t="str">
        <x:v>Client status drilldown</x:v>
      </x:c>
      <x:c r="D196" s="9" t="str">
        <x:v>dashboard user</x:v>
      </x:c>
      <x:c r="E196" s="9" t="str">
        <x:v>Как dashboard user, я хочу открыть клиентов из метрики, чтобы рабочий сценарий был предсказуемым.</x:v>
      </x:c>
      <x:c r="F196" s="9" t="str">
        <x:v>Пользователь вошёл; нужная analytics capability разрешена.</x:v>
      </x:c>
      <x:c r="G196" s="9" t="str">
        <x:v>Открыть Overview/Analytics, изменить filters или drilldown/export.</x:v>
      </x:c>
      <x:c r="H196" s="9" t="str">
        <x:v>Список содержит ровно записи count и typed links в canonical Client workspace.</x:v>
      </x:c>
      <x:c r="I196" s="9" t="str">
        <x:v>analytics client scope</x:v>
      </x:c>
      <x:c r="J196" s="9" t="str">
        <x:v>Windows, Android</x:v>
      </x:c>
      <x:c r="K196" s="9" t="str">
        <x:v>lib/features/manager/presentation/widgets/reports_widget.dart</x:v>
      </x:c>
      <x:c r="L196" s="9" t="str">
        <x:v>lib/core/services/magic_crm_service_finance.dart; server/src/analytics; server/src/crm/crm-dashboard.controller.ts</x:v>
      </x:c>
      <x:c r="M196" s="9" t="str">
        <x:v>test/features/manager/*report*; server/src/analytics/*.spec.ts; docs/audits/v6-unified-dashboard.md</x:v>
      </x:c>
      <x:c r="N196" s="9" t="str">
        <x:v>CODE-BACKED</x:v>
      </x:c>
      <x:c r="O196" s="9" t="str">
        <x:v>PASS</x:v>
      </x:c>
      <x:c r="P196" s="9" t="str">
        <x:v>Post-fix acceptance passed for Client status drilldown: 1 exact named test(s) matched and passed on build 1.2.3+156.</x:v>
      </x:c>
      <x:c r="Q196" s="9" t="str"/>
      <x:c r="R196" s="9" t="str">
        <x:v>P0</x:v>
      </x:c>
      <x:c r="S196" s="9" t="str">
        <x:v>2026-08-06</x:v>
      </x:c>
      <x:c r="T196" s="9" t="str">
        <x:v>evidence/server-test-json-final-156.json</x:v>
      </x:c>
      <x:c r="U196" s="9" t="str">
        <x:v>Server: server/src/analytics/client-status-postgres.integration.spec.ts :: ClientStatusReadService (PostgreSQL) uses one scoped filter for summary and drilldown totals</x:v>
      </x:c>
    </x:row>
    <x:row r="197">
      <x:c r="A197" s="9" t="str">
        <x:v>ANA-007</x:v>
      </x:c>
      <x:c r="B197" s="9" t="str">
        <x:v>Dashboard &amp; Analytics</x:v>
      </x:c>
      <x:c r="C197" s="9" t="str">
        <x:v>Lesson success</x:v>
      </x:c>
      <x:c r="D197" s="9" t="str">
        <x:v>dashboard user</x:v>
      </x:c>
      <x:c r="E197" s="9" t="str">
        <x:v>Как dashboard user, я хочу оценить результат занятий, чтобы рабочий сценарий был предсказуемым.</x:v>
      </x:c>
      <x:c r="F197" s="9" t="str">
        <x:v>Пользователь вошёл; нужная analytics capability разрешена.</x:v>
      </x:c>
      <x:c r="G197" s="9" t="str">
        <x:v>Открыть Overview/Analytics, изменить filters или drilldown/export.</x:v>
      </x:c>
      <x:c r="H197" s="9" t="str">
        <x:v>Metric использует выбранные period/branch and actor-safe aggregates.</x:v>
      </x:c>
      <x:c r="I197" s="9" t="str">
        <x:v>analytics schedule scope</x:v>
      </x:c>
      <x:c r="J197" s="9" t="str">
        <x:v>Windows, Android</x:v>
      </x:c>
      <x:c r="K197" s="9" t="str">
        <x:v>lib/features/manager/presentation/widgets/reports_widget.dart</x:v>
      </x:c>
      <x:c r="L197" s="9" t="str">
        <x:v>lib/core/services/magic_crm_service_finance.dart; server/src/analytics; server/src/crm/crm-dashboard.controller.ts</x:v>
      </x:c>
      <x:c r="M197" s="9" t="str">
        <x:v>test/features/manager/*report*; server/src/analytics/*.spec.ts; docs/audits/v6-unified-dashboard.md</x:v>
      </x:c>
      <x:c r="N197" s="9" t="str">
        <x:v>CODE-BACKED</x:v>
      </x:c>
      <x:c r="O197" s="9" t="str">
        <x:v>PASS</x:v>
      </x:c>
      <x:c r="P197" s="9" t="str">
        <x:v>Post-fix acceptance passed for Lesson success: 1 exact named test(s) matched and passed on build 1.2.3+156.</x:v>
      </x:c>
      <x:c r="Q197" s="9" t="str"/>
      <x:c r="R197" s="9" t="str">
        <x:v>P1</x:v>
      </x:c>
      <x:c r="S197" s="9" t="str">
        <x:v>2026-08-06</x:v>
      </x:c>
      <x:c r="T197" s="9" t="str">
        <x:v>evidence/server-test-json-final-156.json</x:v>
      </x:c>
      <x:c r="U197" s="9" t="str">
        <x:v>Server: server/src/analytics/v4-reporting-scope-postgres.integration.spec.ts :: ReportingReadService hard scopes (PostgreSQL) derives lesson success only from terminal lifecycle with branch scope</x:v>
      </x:c>
    </x:row>
    <x:row r="198">
      <x:c r="A198" s="9" t="str">
        <x:v>ANA-008</x:v>
      </x:c>
      <x:c r="B198" s="9" t="str">
        <x:v>Dashboard &amp; Analytics</x:v>
      </x:c>
      <x:c r="C198" s="9" t="str">
        <x:v>Lesson drilldown</x:v>
      </x:c>
      <x:c r="D198" s="9" t="str">
        <x:v>dashboard user</x:v>
      </x:c>
      <x:c r="E198" s="9" t="str">
        <x:v>Как dashboard user, я хочу открыть занятия метрики, чтобы рабочий сценарий был предсказуемым.</x:v>
      </x:c>
      <x:c r="F198" s="9" t="str">
        <x:v>Пользователь вошёл; нужная analytics capability разрешена.</x:v>
      </x:c>
      <x:c r="G198" s="9" t="str">
        <x:v>Открыть Overview/Analytics, изменить filters или drilldown/export.</x:v>
      </x:c>
      <x:c r="H198" s="9" t="str">
        <x:v>Drilldown reconciliation совпадает с aggregate и открывает canonical Lesson routes.</x:v>
      </x:c>
      <x:c r="I198" s="9" t="str">
        <x:v>analytics schedule scope</x:v>
      </x:c>
      <x:c r="J198" s="9" t="str">
        <x:v>Windows, Android</x:v>
      </x:c>
      <x:c r="K198" s="9" t="str">
        <x:v>lib/features/manager/presentation/widgets/reports_widget.dart</x:v>
      </x:c>
      <x:c r="L198" s="9" t="str">
        <x:v>lib/core/services/magic_crm_service_finance.dart; server/src/analytics; server/src/crm/crm-dashboard.controller.ts</x:v>
      </x:c>
      <x:c r="M198" s="9" t="str">
        <x:v>test/features/manager/*report*; server/src/analytics/*.spec.ts; docs/audits/v6-unified-dashboard.md</x:v>
      </x:c>
      <x:c r="N198" s="9" t="str">
        <x:v>CODE-BACKED</x:v>
      </x:c>
      <x:c r="O198" s="9" t="str">
        <x:v>PASS</x:v>
      </x:c>
      <x:c r="P198" s="9" t="str">
        <x:v>Post-fix acceptance passed for Lesson drilldown: 1 exact named test(s) matched and passed on build 1.2.3+156.</x:v>
      </x:c>
      <x:c r="Q198" s="9" t="str"/>
      <x:c r="R198" s="9" t="str">
        <x:v>P1</x:v>
      </x:c>
      <x:c r="S198" s="9" t="str">
        <x:v>2026-08-06</x:v>
      </x:c>
      <x:c r="T198" s="9" t="str">
        <x:v>evidence/flutter-test-machine-final-156.ndjson</x:v>
      </x:c>
      <x:c r="U198" s="9" t="str">
        <x:v>Flutter: test/features/v4/reporting_drilldown_test.dart :: lesson KPI opens source lessons with the same predicate</x:v>
      </x:c>
    </x:row>
    <x:row r="199">
      <x:c r="A199" s="9" t="str">
        <x:v>ANA-009</x:v>
      </x:c>
      <x:c r="B199" s="9" t="str">
        <x:v>Dashboard &amp; Analytics</x:v>
      </x:c>
      <x:c r="C199" s="9" t="str">
        <x:v>School finance section</x:v>
      </x:c>
      <x:c r="D199" s="9" t="str">
        <x:v>директор/system admin</x:v>
      </x:c>
      <x:c r="E199" s="9" t="str">
        <x:v>Как директор/system admin, я хочу видеть school finance, чтобы рабочий сценарий был предсказуемым.</x:v>
      </x:c>
      <x:c r="F199" s="9" t="str">
        <x:v>Пользователь вошёл; нужная analytics capability разрешена.</x:v>
      </x:c>
      <x:c r="G199" s="9" t="str">
        <x:v>Открыть Overview/Analytics, изменить filters или drilldown/export.</x:v>
      </x:c>
      <x:c r="H199" s="9" t="str">
        <x:v>Revenue/debt/forecast/expenses доступны только canReadSchoolFinance и используют selected scope.</x:v>
      </x:c>
      <x:c r="I199" s="9" t="str">
        <x:v>director/system_admin</x:v>
      </x:c>
      <x:c r="J199" s="9" t="str">
        <x:v>Windows, Android</x:v>
      </x:c>
      <x:c r="K199" s="9" t="str">
        <x:v>lib/features/manager/presentation/widgets/reports_widget.dart</x:v>
      </x:c>
      <x:c r="L199" s="9" t="str">
        <x:v>lib/core/services/magic_crm_service_finance.dart; server/src/analytics; server/src/crm/crm-dashboard.controller.ts</x:v>
      </x:c>
      <x:c r="M199" s="9" t="str">
        <x:v>test/features/manager/*report*; server/src/analytics/*.spec.ts; docs/audits/v6-unified-dashboard.md</x:v>
      </x:c>
      <x:c r="N199" s="9" t="str">
        <x:v>CODE-BACKED</x:v>
      </x:c>
      <x:c r="O199" s="9" t="str">
        <x:v>PASS</x:v>
      </x:c>
      <x:c r="P199" s="9" t="str">
        <x:v>Post-fix acceptance passed for School finance section: 1 exact named test(s) matched and passed on build 1.2.3+156.</x:v>
      </x:c>
      <x:c r="Q199" s="9" t="str"/>
      <x:c r="R199" s="9" t="str">
        <x:v>P0</x:v>
      </x:c>
      <x:c r="S199" s="9" t="str">
        <x:v>2026-08-06</x:v>
      </x:c>
      <x:c r="T199" s="9" t="str">
        <x:v>evidence/server-test-json-final-156.json</x:v>
      </x:c>
      <x:c r="U199" s="9" t="str">
        <x:v>Server: server/src/analytics/v4-reporting-scope-postgres.integration.spec.ts :: ReportingReadService hard scopes (PostgreSQL) allows school finance only to Director/root and counts ActualPayment only</x:v>
      </x:c>
    </x:row>
    <x:row r="200">
      <x:c r="A200" s="9" t="str">
        <x:v>ANA-010</x:v>
      </x:c>
      <x:c r="B200" s="9" t="str">
        <x:v>Dashboard &amp; Analytics</x:v>
      </x:c>
      <x:c r="C200" s="9" t="str">
        <x:v>Finance non-request</x:v>
      </x:c>
      <x:c r="D200" s="9" t="str">
        <x:v>manager/admin/teacher/client</x:v>
      </x:c>
      <x:c r="E200" s="9" t="str">
        <x:v>Как manager/admin/teacher/client, я хочу не запрашивать school finance, чтобы рабочий сценарий был предсказуемым.</x:v>
      </x:c>
      <x:c r="F200" s="9" t="str">
        <x:v>Пользователь вошёл; нужная analytics capability разрешена.</x:v>
      </x:c>
      <x:c r="G200" s="9" t="str">
        <x:v>Открыть Overview/Analytics, изменить filters или drilldown/export.</x:v>
      </x:c>
      <x:c r="H200" s="9" t="str">
        <x:v>Section/provider absent; network содержит zero school-finance requests and payload leaks.</x:v>
      </x:c>
      <x:c r="I200" s="9" t="str">
        <x:v>hard deny</x:v>
      </x:c>
      <x:c r="J200" s="9" t="str">
        <x:v>Windows, Android</x:v>
      </x:c>
      <x:c r="K200" s="9" t="str">
        <x:v>lib/features/manager/presentation/widgets/reports_widget.dart</x:v>
      </x:c>
      <x:c r="L200" s="9" t="str">
        <x:v>lib/core/services/magic_crm_service_finance.dart; server/src/analytics; server/src/crm/crm-dashboard.controller.ts</x:v>
      </x:c>
      <x:c r="M200" s="9" t="str">
        <x:v>test/features/manager/*report*; server/src/analytics/*.spec.ts; docs/audits/v6-unified-dashboard.md</x:v>
      </x:c>
      <x:c r="N200" s="9" t="str">
        <x:v>CODE-BACKED</x:v>
      </x:c>
      <x:c r="O200" s="9" t="str">
        <x:v>RETEST PASS</x:v>
      </x:c>
      <x:c r="P200" s="9" t="str">
        <x:v>Manager UI omitted debt/balance/revenue and backend dashboard projection skips school-finance SQL/source URLs when capability is absent.</x:v>
      </x:c>
      <x:c r="Q200" s="9" t="str">
        <x:v>ERR-006</x:v>
      </x:c>
      <x:c r="R200" s="9" t="str">
        <x:v>P0</x:v>
      </x:c>
      <x:c r="S200" s="9" t="str">
        <x:v>2026-08-06</x:v>
      </x:c>
      <x:c r="T200" s="9" t="str">
        <x:v>evidence/postfix-manager-overview.txt; evidence/server-test-full-postfix.txt</x:v>
      </x:c>
      <x:c r="U200" s="9" t="str">
        <x:v>UI and provider/request boundary both fail closed.</x:v>
      </x:c>
    </x:row>
    <x:row r="201">
      <x:c r="A201" s="9" t="str">
        <x:v>ANA-011</x:v>
      </x:c>
      <x:c r="B201" s="9" t="str">
        <x:v>Dashboard &amp; Analytics</x:v>
      </x:c>
      <x:c r="C201" s="9" t="str">
        <x:v>Current task queue</x:v>
      </x:c>
      <x:c r="D201" s="9" t="str">
        <x:v>dashboard user</x:v>
      </x:c>
      <x:c r="E201" s="9" t="str">
        <x:v>Как dashboard user, я хочу видеть текущие задачи, чтобы рабочий сценарий был предсказуемым.</x:v>
      </x:c>
      <x:c r="F201" s="9" t="str">
        <x:v>Пользователь вошёл; нужная analytics capability разрешена.</x:v>
      </x:c>
      <x:c r="G201" s="9" t="str">
        <x:v>Открыть Overview/Analytics, изменить filters или drilldown/export.</x:v>
      </x:c>
      <x:c r="H201" s="9" t="str">
        <x:v>Tasks явно помечены current queue и не притворяются отфильтрованными period/branch там, где это неприменимо.</x:v>
      </x:c>
      <x:c r="I201" s="9" t="str">
        <x:v>task.read</x:v>
      </x:c>
      <x:c r="J201" s="9" t="str">
        <x:v>Windows, Android</x:v>
      </x:c>
      <x:c r="K201" s="9" t="str">
        <x:v>lib/features/manager/presentation/widgets/reports_widget.dart</x:v>
      </x:c>
      <x:c r="L201" s="9" t="str">
        <x:v>lib/core/services/magic_crm_service_finance.dart; server/src/analytics; server/src/crm/crm-dashboard.controller.ts</x:v>
      </x:c>
      <x:c r="M201" s="9" t="str">
        <x:v>test/features/manager/*report*; server/src/analytics/*.spec.ts; docs/audits/v6-unified-dashboard.md</x:v>
      </x:c>
      <x:c r="N201" s="9" t="str">
        <x:v>CODE-BACKED</x:v>
      </x:c>
      <x:c r="O201" s="9" t="str">
        <x:v>PASS</x:v>
      </x:c>
      <x:c r="P201" s="9" t="str">
        <x:v>Post-fix acceptance passed for Current task queue: 1 exact named test(s) matched and passed on build 1.2.3+156.</x:v>
      </x:c>
      <x:c r="Q201" s="9" t="str"/>
      <x:c r="R201" s="9" t="str">
        <x:v>P1</x:v>
      </x:c>
      <x:c r="S201" s="9" t="str">
        <x:v>2026-08-06</x:v>
      </x:c>
      <x:c r="T201" s="9" t="str">
        <x:v>evidence/server-test-json-final-156.json</x:v>
      </x:c>
      <x:c r="U201" s="9" t="str">
        <x:v>Server: server/src/crm/tasks/shared-task-postgres.integration.spec.ts :: SharedTask API domain (PostgreSQL) uses the dashboard predicate for the open-task detail</x:v>
      </x:c>
    </x:row>
    <x:row r="202">
      <x:c r="A202" s="9" t="str">
        <x:v>ANA-012</x:v>
      </x:c>
      <x:c r="B202" s="9" t="str">
        <x:v>Dashboard &amp; Analytics</x:v>
      </x:c>
      <x:c r="C202" s="9" t="str">
        <x:v>Sources and funnel</x:v>
      </x:c>
      <x:c r="D202" s="9" t="str">
        <x:v>dashboard user</x:v>
      </x:c>
      <x:c r="E202" s="9" t="str">
        <x:v>Как dashboard user, я хочу анализировать источники/воронку, чтобы рабочий сценарий был предсказуемым.</x:v>
      </x:c>
      <x:c r="F202" s="9" t="str">
        <x:v>Пользователь вошёл; нужная analytics capability разрешена.</x:v>
      </x:c>
      <x:c r="G202" s="9" t="str">
        <x:v>Открыть Overview/Analytics, изменить filters или drilldown/export.</x:v>
      </x:c>
      <x:c r="H202" s="9" t="str">
        <x:v>Metrics use effective client data and selected scope; labels human-readable.</x:v>
      </x:c>
      <x:c r="I202" s="9" t="str">
        <x:v>analytics read</x:v>
      </x:c>
      <x:c r="J202" s="9" t="str">
        <x:v>Windows, Android</x:v>
      </x:c>
      <x:c r="K202" s="9" t="str">
        <x:v>lib/features/manager/presentation/widgets/reports_widget.dart</x:v>
      </x:c>
      <x:c r="L202" s="9" t="str">
        <x:v>lib/core/services/magic_crm_service_finance.dart; server/src/analytics; server/src/crm/crm-dashboard.controller.ts</x:v>
      </x:c>
      <x:c r="M202" s="9" t="str">
        <x:v>test/features/manager/*report*; server/src/analytics/*.spec.ts; docs/audits/v6-unified-dashboard.md</x:v>
      </x:c>
      <x:c r="N202" s="9" t="str">
        <x:v>CODE-BACKED</x:v>
      </x:c>
      <x:c r="O202" s="9" t="str">
        <x:v>PASS</x:v>
      </x:c>
      <x:c r="P202" s="9" t="str">
        <x:v>Post-fix acceptance passed for Sources and funnel: 1 exact named test(s) matched and passed on build 1.2.3+156.</x:v>
      </x:c>
      <x:c r="Q202" s="9" t="str"/>
      <x:c r="R202" s="9" t="str">
        <x:v>P1</x:v>
      </x:c>
      <x:c r="S202" s="9" t="str">
        <x:v>2026-08-06</x:v>
      </x:c>
      <x:c r="T202" s="9" t="str">
        <x:v>evidence/server-test-json-final-156.json</x:v>
      </x:c>
      <x:c r="U202" s="9" t="str">
        <x:v>Server: server/src/analytics/analytics.service.spec.ts :: AnalyticsService funnel returns stage counts ordered by sort_order, gated to manager/admin</x:v>
      </x:c>
    </x:row>
    <x:row r="203">
      <x:c r="A203" s="9" t="str">
        <x:v>ANA-013</x:v>
      </x:c>
      <x:c r="B203" s="9" t="str">
        <x:v>Dashboard &amp; Analytics</x:v>
      </x:c>
      <x:c r="C203" s="9" t="str">
        <x:v>Loss/debt/forecast/churn</x:v>
      </x:c>
      <x:c r="D203" s="9" t="str">
        <x:v>разрешённый dashboard user</x:v>
      </x:c>
      <x:c r="E203" s="9" t="str">
        <x:v>Как разрешённый dashboard user, я хочу просмотреть risk metrics, чтобы рабочий сценарий был предсказуемым.</x:v>
      </x:c>
      <x:c r="F203" s="9" t="str">
        <x:v>Пользователь вошёл; нужная analytics capability разрешена.</x:v>
      </x:c>
      <x:c r="G203" s="9" t="str">
        <x:v>Открыть Overview/Analytics, изменить filters или drilldown/export.</x:v>
      </x:c>
      <x:c r="H203" s="9" t="str">
        <x:v>Каждая permitted metric respects actor/branch/period and provides honest empty/error states.</x:v>
      </x:c>
      <x:c r="I203" s="9" t="str">
        <x:v>metric-specific capability</x:v>
      </x:c>
      <x:c r="J203" s="9" t="str">
        <x:v>Windows, Android</x:v>
      </x:c>
      <x:c r="K203" s="9" t="str">
        <x:v>lib/features/manager/presentation/widgets/reports_widget.dart</x:v>
      </x:c>
      <x:c r="L203" s="9" t="str">
        <x:v>lib/core/services/magic_crm_service_finance.dart; server/src/analytics; server/src/crm/crm-dashboard.controller.ts</x:v>
      </x:c>
      <x:c r="M203" s="9" t="str">
        <x:v>test/features/manager/*report*; server/src/analytics/*.spec.ts; docs/audits/v6-unified-dashboard.md</x:v>
      </x:c>
      <x:c r="N203" s="9" t="str">
        <x:v>CODE-BACKED</x:v>
      </x:c>
      <x:c r="O203" s="9" t="str">
        <x:v>PASS</x:v>
      </x:c>
      <x:c r="P203" s="9" t="str">
        <x:v>Post-fix acceptance passed for Loss/debt/forecast/churn: 4 exact named test(s) matched and passed on build 1.2.3+156.</x:v>
      </x:c>
      <x:c r="Q203" s="9" t="str"/>
      <x:c r="R203" s="9" t="str">
        <x:v>P1</x:v>
      </x:c>
      <x:c r="S203" s="9" t="str">
        <x:v>2026-08-06</x:v>
      </x:c>
      <x:c r="T203" s="9" t="str">
        <x:v>evidence/flutter-test-machine-final-156.ndjson; evidence/server-test-json-final-156.json</x:v>
      </x:c>
      <x:c r="U203" s="9" t="str">
        <x:v>Server: server/src/analytics/analytics.service.spec.ts :: AnalyticsService debts buckets overdue payments in fixed order with zero-fill, gated to manager/admin
Server: server/src/analytics/analytics.service.spec.ts :: AnalyticsService churnRisk lists active students with no recent completed lesson, gated
Server: server/src/analytics/analytics.service.spec.ts :: AnalyticsService lossReasons groups terminal-transition reasons, gated to manager/admin
Flutter: test/core/services/magic_crm_service_test.dart :: MagicCrmService getAnalyticsForecast requests /analytics/forecast</x:v>
      </x:c>
    </x:row>
    <x:row r="204">
      <x:c r="A204" s="9" t="str">
        <x:v>ANA-014</x:v>
      </x:c>
      <x:c r="B204" s="9" t="str">
        <x:v>Dashboard &amp; Analytics</x:v>
      </x:c>
      <x:c r="C204" s="9" t="str">
        <x:v>Chat SLA</x:v>
      </x:c>
      <x:c r="D204" s="9" t="str">
        <x:v>разрешённый dashboard user</x:v>
      </x:c>
      <x:c r="E204" s="9" t="str">
        <x:v>Как разрешённый dashboard user, я хочу видеть SLA переписок, чтобы рабочий сценарий был предсказуемым.</x:v>
      </x:c>
      <x:c r="F204" s="9" t="str">
        <x:v>Пользователь вошёл; нужная analytics capability разрешена.</x:v>
      </x:c>
      <x:c r="G204" s="9" t="str">
        <x:v>Открыть Overview/Analytics, изменить filters или drilldown/export.</x:v>
      </x:c>
      <x:c r="H204" s="9" t="str">
        <x:v>Aggregate does not expose message content and respects operational scope.</x:v>
      </x:c>
      <x:c r="I204" s="9" t="str">
        <x:v>analytics operational</x:v>
      </x:c>
      <x:c r="J204" s="9" t="str">
        <x:v>Windows, Android</x:v>
      </x:c>
      <x:c r="K204" s="9" t="str">
        <x:v>lib/features/manager/presentation/widgets/reports_widget.dart</x:v>
      </x:c>
      <x:c r="L204" s="9" t="str">
        <x:v>lib/core/services/magic_crm_service_finance.dart; server/src/analytics; server/src/crm/crm-dashboard.controller.ts</x:v>
      </x:c>
      <x:c r="M204" s="9" t="str">
        <x:v>test/features/manager/*report*; server/src/analytics/*.spec.ts; docs/audits/v6-unified-dashboard.md</x:v>
      </x:c>
      <x:c r="N204" s="9" t="str">
        <x:v>CODE-BACKED</x:v>
      </x:c>
      <x:c r="O204" s="9" t="str">
        <x:v>PASS</x:v>
      </x:c>
      <x:c r="P204" s="9" t="str">
        <x:v>Post-fix acceptance passed for Chat SLA: 1 exact named test(s) matched and passed on build 1.2.3+156.</x:v>
      </x:c>
      <x:c r="Q204" s="9" t="str"/>
      <x:c r="R204" s="9" t="str">
        <x:v>P1</x:v>
      </x:c>
      <x:c r="S204" s="9" t="str">
        <x:v>2026-08-06</x:v>
      </x:c>
      <x:c r="T204" s="9" t="str">
        <x:v>evidence/flutter-test-machine-final-156.ndjson</x:v>
      </x:c>
      <x:c r="U204" s="9" t="str">
        <x:v>Flutter: test/core/services/magic_crm_service_test.dart :: MagicCrmService getAnalyticsChatSla requests /analytics/chats/sla</x:v>
      </x:c>
    </x:row>
    <x:row r="205">
      <x:c r="A205" s="9" t="str">
        <x:v>ANA-015</x:v>
      </x:c>
      <x:c r="B205" s="9" t="str">
        <x:v>Dashboard &amp; Analytics</x:v>
      </x:c>
      <x:c r="C205" s="9" t="str">
        <x:v>Data quality</x:v>
      </x:c>
      <x:c r="D205" s="9" t="str">
        <x:v>директор/system admin</x:v>
      </x:c>
      <x:c r="E205" s="9" t="str">
        <x:v>Как директор/system admin, я хочу увидеть качество данных, чтобы рабочий сценарий был предсказуемым.</x:v>
      </x:c>
      <x:c r="F205" s="9" t="str">
        <x:v>Пользователь вошёл; нужная analytics capability разрешена.</x:v>
      </x:c>
      <x:c r="G205" s="9" t="str">
        <x:v>Открыть Overview/Analytics, изменить filters или drilldown/export.</x:v>
      </x:c>
      <x:c r="H205" s="9" t="str">
        <x:v>Issues grouped/actionable; counts link to safe maintenance workflows.</x:v>
      </x:c>
      <x:c r="I205" s="9" t="str">
        <x:v>data quality capability</x:v>
      </x:c>
      <x:c r="J205" s="9" t="str">
        <x:v>Windows, Android</x:v>
      </x:c>
      <x:c r="K205" s="9" t="str">
        <x:v>lib/features/manager/presentation/widgets/reports_widget.dart</x:v>
      </x:c>
      <x:c r="L205" s="9" t="str">
        <x:v>lib/core/services/magic_crm_service_finance.dart; server/src/analytics; server/src/crm/crm-dashboard.controller.ts</x:v>
      </x:c>
      <x:c r="M205" s="9" t="str">
        <x:v>test/features/manager/*report*; server/src/analytics/*.spec.ts; docs/audits/v6-unified-dashboard.md</x:v>
      </x:c>
      <x:c r="N205" s="9" t="str">
        <x:v>CODE-BACKED</x:v>
      </x:c>
      <x:c r="O205" s="9" t="str">
        <x:v>PASS</x:v>
      </x:c>
      <x:c r="P205" s="9" t="str">
        <x:v>Post-fix acceptance passed for Data quality: 1 exact named test(s) matched and passed on build 1.2.3+156.</x:v>
      </x:c>
      <x:c r="Q205" s="9" t="str"/>
      <x:c r="R205" s="9" t="str">
        <x:v>P1</x:v>
      </x:c>
      <x:c r="S205" s="9" t="str">
        <x:v>2026-08-06</x:v>
      </x:c>
      <x:c r="T205" s="9" t="str">
        <x:v>evidence/server-test-json-final-156.json</x:v>
      </x:c>
      <x:c r="U205" s="9" t="str">
        <x:v>Server: server/src/analytics/analytics.service.spec.ts :: AnalyticsService dataQuality counts leads/students missing phone/branch/discipline, gated</x:v>
      </x:c>
    </x:row>
    <x:row r="206">
      <x:c r="A206" s="9" t="str">
        <x:v>ANA-016</x:v>
      </x:c>
      <x:c r="B206" s="9" t="str">
        <x:v>Dashboard &amp; Analytics</x:v>
      </x:c>
      <x:c r="C206" s="9" t="str">
        <x:v>Request export</x:v>
      </x:c>
      <x:c r="D206" s="9" t="str">
        <x:v>разрешённый dashboard user</x:v>
      </x:c>
      <x:c r="E206" s="9" t="str">
        <x:v>Как разрешённый dashboard user, я хочу создать Excel export, чтобы рабочий сценарий был предсказуемым.</x:v>
      </x:c>
      <x:c r="F206" s="9" t="str">
        <x:v>Пользователь вошёл; нужная analytics capability разрешена.</x:v>
      </x:c>
      <x:c r="G206" s="9" t="str">
        <x:v>Открыть Overview/Analytics, изменить filters или drilldown/export.</x:v>
      </x:c>
      <x:c r="H206" s="9" t="str">
        <x:v>Export job captures normalized filters/capabilities and returns trackable job id.</x:v>
      </x:c>
      <x:c r="I206" s="9" t="str">
        <x:v>analytics export</x:v>
      </x:c>
      <x:c r="J206" s="9" t="str">
        <x:v>Windows, Android</x:v>
      </x:c>
      <x:c r="K206" s="9" t="str">
        <x:v>lib/features/manager/presentation/widgets/reports_widget.dart</x:v>
      </x:c>
      <x:c r="L206" s="9" t="str">
        <x:v>lib/core/services/magic_crm_service_finance.dart; server/src/analytics; server/src/crm/crm-dashboard.controller.ts</x:v>
      </x:c>
      <x:c r="M206" s="9" t="str">
        <x:v>test/features/manager/*report*; server/src/analytics/*.spec.ts; docs/audits/v6-unified-dashboard.md</x:v>
      </x:c>
      <x:c r="N206" s="9" t="str">
        <x:v>CODE-BACKED</x:v>
      </x:c>
      <x:c r="O206" s="9" t="str">
        <x:v>PASS</x:v>
      </x:c>
      <x:c r="P206" s="9" t="str">
        <x:v>Post-fix acceptance passed for Request export: 1 exact named test(s) matched and passed on build 1.2.3+156.</x:v>
      </x:c>
      <x:c r="Q206" s="9" t="str"/>
      <x:c r="R206" s="9" t="str">
        <x:v>P0</x:v>
      </x:c>
      <x:c r="S206" s="9" t="str">
        <x:v>2026-08-06</x:v>
      </x:c>
      <x:c r="T206" s="9" t="str">
        <x:v>evidence/server-test-json-final-156.json</x:v>
      </x:c>
      <x:c r="U206" s="9" t="str">
        <x:v>Server: server/src/analytics/ooxml-export.integration.spec.ts :: v4 OOXML export enforces sync/async/maximum row contracts</x:v>
      </x:c>
    </x:row>
    <x:row r="207">
      <x:c r="A207" s="9" t="str">
        <x:v>ANA-017</x:v>
      </x:c>
      <x:c r="B207" s="9" t="str">
        <x:v>Dashboard &amp; Analytics</x:v>
      </x:c>
      <x:c r="C207" s="9" t="str">
        <x:v>Download export</x:v>
      </x:c>
      <x:c r="D207" s="9" t="str">
        <x:v>разрешённый dashboard user</x:v>
      </x:c>
      <x:c r="E207" s="9" t="str">
        <x:v>Как разрешённый dashboard user, я хочу скачать готовый Excel, чтобы рабочий сценарий был предсказуемым.</x:v>
      </x:c>
      <x:c r="F207" s="9" t="str">
        <x:v>Пользователь вошёл; нужная analytics capability разрешена.</x:v>
      </x:c>
      <x:c r="G207" s="9" t="str">
        <x:v>Открыть Overview/Analytics, изменить filters или drilldown/export.</x:v>
      </x:c>
      <x:c r="H207" s="9" t="str">
        <x:v>Job status progresses deterministically; download opens as valid XLSX and contains only actor-safe columns.</x:v>
      </x:c>
      <x:c r="I207" s="9" t="str">
        <x:v>analytics export</x:v>
      </x:c>
      <x:c r="J207" s="9" t="str">
        <x:v>Windows, Android</x:v>
      </x:c>
      <x:c r="K207" s="9" t="str">
        <x:v>lib/features/manager/presentation/widgets/reports_widget.dart</x:v>
      </x:c>
      <x:c r="L207" s="9" t="str">
        <x:v>lib/core/services/magic_crm_service_finance.dart; server/src/analytics; server/src/crm/crm-dashboard.controller.ts</x:v>
      </x:c>
      <x:c r="M207" s="9" t="str">
        <x:v>test/features/manager/*report*; server/src/analytics/*.spec.ts; docs/audits/v6-unified-dashboard.md</x:v>
      </x:c>
      <x:c r="N207" s="9" t="str">
        <x:v>CODE-BACKED</x:v>
      </x:c>
      <x:c r="O207" s="9" t="str">
        <x:v>PASS</x:v>
      </x:c>
      <x:c r="P207" s="9" t="str">
        <x:v>Post-fix acceptance passed for Download export: 1 exact named test(s) matched and passed on build 1.2.3+156.</x:v>
      </x:c>
      <x:c r="Q207" s="9" t="str"/>
      <x:c r="R207" s="9" t="str">
        <x:v>P0</x:v>
      </x:c>
      <x:c r="S207" s="9" t="str">
        <x:v>2026-08-06</x:v>
      </x:c>
      <x:c r="T207" s="9" t="str">
        <x:v>evidence/flutter-test-machine-final-156.ndjson</x:v>
      </x:c>
      <x:c r="U207" s="9" t="str">
        <x:v>Flutter: test/features/v4/reporting_drilldown_test.dart :: director sees finance and completes private async download</x:v>
      </x:c>
    </x:row>
    <x:row r="208">
      <x:c r="A208" s="9" t="str">
        <x:v>CFG-001</x:v>
      </x:c>
      <x:c r="B208" s="9" t="str">
        <x:v>Configuration &amp; Operations</x:v>
      </x:c>
      <x:c r="C208" s="9" t="str">
        <x:v>Settings navigation</x:v>
      </x:c>
      <x:c r="D208" s="9" t="str">
        <x:v>разрешённый staff</x:v>
      </x:c>
      <x:c r="E208" s="9" t="str">
        <x:v>Как разрешённый staff, я хочу понять структуру настроек, чтобы рабочий сценарий был предсказуемым.</x:v>
      </x:c>
      <x:c r="F208" s="9" t="str">
        <x:v>Пользователь вошёл; Settings section/capability разрешены.</x:v>
      </x:c>
      <x:c r="G208" s="9" t="str">
        <x:v>Открыть Settings, выбрать раздел и выполнить read/edit/publish action.</x:v>
      </x:c>
      <x:c r="H208" s="9" t="str">
        <x:v>Organization, Schedule, CRM, Sales/Payments, Users/Access and Data/Maintenance имеют понятные descriptions and capability projection.</x:v>
      </x:c>
      <x:c r="I208" s="9" t="str">
        <x:v>settings read</x:v>
      </x:c>
      <x:c r="J208" s="9" t="str">
        <x:v>Windows, Android</x:v>
      </x:c>
      <x:c r="K208" s="9" t="str">
        <x:v>lib/features/admin/presentation/widgets/manage_entities_widget.dart; lib/features/crm/presentation/configuration</x:v>
      </x:c>
      <x:c r="L208" s="9" t="str">
        <x:v>server/src/crm/crm-configuration.controller.ts; crm-facilities.controller.ts; schedule/availability.controller.ts; server/src/access-control</x:v>
      </x:c>
      <x:c r="M208" s="9" t="str">
        <x:v>test/features/admin/*entities*; test/features/crm/*configuration*; server/src/access-control/*.spec.ts; docs/audits/v6-unified-crm-configuration.md</x:v>
      </x:c>
      <x:c r="N208" s="9" t="str">
        <x:v>CODE-BACKED</x:v>
      </x:c>
      <x:c r="O208" s="9" t="str">
        <x:v>PASS</x:v>
      </x:c>
      <x:c r="P208" s="9" t="str">
        <x:v>Post-fix acceptance passed for Settings navigation: 1 exact named test(s) matched and passed on build 1.2.3+156.</x:v>
      </x:c>
      <x:c r="Q208" s="9" t="str"/>
      <x:c r="R208" s="9" t="str">
        <x:v>P0</x:v>
      </x:c>
      <x:c r="S208" s="9" t="str">
        <x:v>2026-08-06</x:v>
      </x:c>
      <x:c r="T208" s="9" t="str">
        <x:v>evidence/flutter-test-machine-final-156.ndjson</x:v>
      </x:c>
      <x:c r="U208" s="9" t="str">
        <x:v>Flutter: test/features/v6/system_settings_workspace_test.dart :: manager sees one six-area settings workspace read-only</x:v>
      </x:c>
    </x:row>
    <x:row r="209">
      <x:c r="A209" s="9" t="str">
        <x:v>CFG-002</x:v>
      </x:c>
      <x:c r="B209" s="9" t="str">
        <x:v>Configuration &amp; Operations</x:v>
      </x:c>
      <x:c r="C209" s="9" t="str">
        <x:v>Branch list/search</x:v>
      </x:c>
      <x:c r="D209" s="9" t="str">
        <x:v>settings reader</x:v>
      </x:c>
      <x:c r="E209" s="9" t="str">
        <x:v>Как settings reader, я хочу найти филиал, чтобы рабочий сценарий был предсказуемым.</x:v>
      </x:c>
      <x:c r="F209" s="9" t="str">
        <x:v>Пользователь вошёл; Settings section/capability разрешены.</x:v>
      </x:c>
      <x:c r="G209" s="9" t="str">
        <x:v>Открыть Settings, выбрать раздел и выполнить read/edit/publish action.</x:v>
      </x:c>
      <x:c r="H209" s="9" t="str">
        <x:v>Search filters locally/remotely without route restart; scope/status visible.</x:v>
      </x:c>
      <x:c r="I209" s="9" t="str">
        <x:v>organization read</x:v>
      </x:c>
      <x:c r="J209" s="9" t="str">
        <x:v>Windows, Android</x:v>
      </x:c>
      <x:c r="K209" s="9" t="str">
        <x:v>lib/features/admin/presentation/widgets/manage_entities_widget.dart; lib/features/crm/presentation/configuration</x:v>
      </x:c>
      <x:c r="L209" s="9" t="str">
        <x:v>server/src/crm/crm-configuration.controller.ts; crm-facilities.controller.ts; schedule/availability.controller.ts; server/src/access-control</x:v>
      </x:c>
      <x:c r="M209" s="9" t="str">
        <x:v>test/features/admin/*entities*; test/features/crm/*configuration*; server/src/access-control/*.spec.ts; docs/audits/v6-unified-crm-configuration.md</x:v>
      </x:c>
      <x:c r="N209" s="9" t="str">
        <x:v>CODE-BACKED</x:v>
      </x:c>
      <x:c r="O209" s="9" t="str">
        <x:v>PASS</x:v>
      </x:c>
      <x:c r="P209" s="9" t="str">
        <x:v>Post-fix acceptance passed for Branch list/search: 1 exact named test(s) matched and passed on build 1.2.3+156.</x:v>
      </x:c>
      <x:c r="Q209" s="9" t="str"/>
      <x:c r="R209" s="9" t="str">
        <x:v>P1</x:v>
      </x:c>
      <x:c r="S209" s="9" t="str">
        <x:v>2026-08-06</x:v>
      </x:c>
      <x:c r="T209" s="9" t="str">
        <x:v>evidence/server-test-json-final-156.json</x:v>
      </x:c>
      <x:c r="U209" s="9" t="str">
        <x:v>Server: server/src/crm/branches.service.spec.ts :: BranchesService lists branches through operational-data policy</x:v>
      </x:c>
    </x:row>
    <x:row r="210">
      <x:c r="A210" s="9" t="str">
        <x:v>CFG-003</x:v>
      </x:c>
      <x:c r="B210" s="9" t="str">
        <x:v>Configuration &amp; Operations</x:v>
      </x:c>
      <x:c r="C210" s="9" t="str">
        <x:v>Create branch</x:v>
      </x:c>
      <x:c r="D210" s="9" t="str">
        <x:v>директор/system admin</x:v>
      </x:c>
      <x:c r="E210" s="9" t="str">
        <x:v>Как директор/system admin, я хочу создать филиал, чтобы рабочий сценарий был предсказуемым.</x:v>
      </x:c>
      <x:c r="F210" s="9" t="str">
        <x:v>Пользователь вошёл; Settings section/capability разрешены.</x:v>
      </x:c>
      <x:c r="G210" s="9" t="str">
        <x:v>Открыть Settings, выбрать раздел и выполнить read/edit/publish action.</x:v>
      </x:c>
      <x:c r="H210" s="9" t="str">
        <x:v>Name/address/timezone required; one versioned Branch created.</x:v>
      </x:c>
      <x:c r="I210" s="9" t="str">
        <x:v>organization write</x:v>
      </x:c>
      <x:c r="J210" s="9" t="str">
        <x:v>Windows, Android</x:v>
      </x:c>
      <x:c r="K210" s="9" t="str">
        <x:v>lib/features/admin/presentation/widgets/manage_entities_widget.dart; lib/features/crm/presentation/configuration</x:v>
      </x:c>
      <x:c r="L210" s="9" t="str">
        <x:v>server/src/crm/crm-configuration.controller.ts; crm-facilities.controller.ts; schedule/availability.controller.ts; server/src/access-control</x:v>
      </x:c>
      <x:c r="M210" s="9" t="str">
        <x:v>test/features/admin/*entities*; test/features/crm/*configuration*; server/src/access-control/*.spec.ts; docs/audits/v6-unified-crm-configuration.md</x:v>
      </x:c>
      <x:c r="N210" s="9" t="str">
        <x:v>CODE-BACKED</x:v>
      </x:c>
      <x:c r="O210" s="9" t="str">
        <x:v>PASS</x:v>
      </x:c>
      <x:c r="P210" s="9" t="str">
        <x:v>Post-fix acceptance passed for Create branch: 1 exact named test(s) matched and passed on build 1.2.3+156.</x:v>
      </x:c>
      <x:c r="Q210" s="9" t="str"/>
      <x:c r="R210" s="9" t="str">
        <x:v>P0</x:v>
      </x:c>
      <x:c r="S210" s="9" t="str">
        <x:v>2026-08-06</x:v>
      </x:c>
      <x:c r="T210" s="9" t="str">
        <x:v>evidence/server-test-json-final-156.json</x:v>
      </x:c>
      <x:c r="U210" s="9" t="str">
        <x:v>Server: server/src/crm/branches.service.spec.ts :: BranchesService creates a branch through CRM write policy and audit</x:v>
      </x:c>
    </x:row>
    <x:row r="211">
      <x:c r="A211" s="9" t="str">
        <x:v>CFG-004</x:v>
      </x:c>
      <x:c r="B211" s="9" t="str">
        <x:v>Configuration &amp; Operations</x:v>
      </x:c>
      <x:c r="C211" s="9" t="str">
        <x:v>Edit branch</x:v>
      </x:c>
      <x:c r="D211" s="9" t="str">
        <x:v>разрешённый config actor</x:v>
      </x:c>
      <x:c r="E211" s="9" t="str">
        <x:v>Как разрешённый config actor, я хочу изменить филиал, чтобы рабочий сценарий был предсказуемым.</x:v>
      </x:c>
      <x:c r="F211" s="9" t="str">
        <x:v>Пользователь вошёл; Settings section/capability разрешены.</x:v>
      </x:c>
      <x:c r="G211" s="9" t="str">
        <x:v>Открыть Settings, выбрать раздел и выполнить read/edit/publish action.</x:v>
      </x:c>
      <x:c r="H211" s="9" t="str">
        <x:v>Only allowed scope fields update with expected version; school-wide fields remain protected.</x:v>
      </x:c>
      <x:c r="I211" s="9" t="str">
        <x:v>organization write/delegation</x:v>
      </x:c>
      <x:c r="J211" s="9" t="str">
        <x:v>Windows, Android</x:v>
      </x:c>
      <x:c r="K211" s="9" t="str">
        <x:v>lib/features/admin/presentation/widgets/manage_entities_widget.dart; lib/features/crm/presentation/configuration</x:v>
      </x:c>
      <x:c r="L211" s="9" t="str">
        <x:v>server/src/crm/crm-configuration.controller.ts; crm-facilities.controller.ts; schedule/availability.controller.ts; server/src/access-control</x:v>
      </x:c>
      <x:c r="M211" s="9" t="str">
        <x:v>test/features/admin/*entities*; test/features/crm/*configuration*; server/src/access-control/*.spec.ts; docs/audits/v6-unified-crm-configuration.md</x:v>
      </x:c>
      <x:c r="N211" s="9" t="str">
        <x:v>CODE-BACKED</x:v>
      </x:c>
      <x:c r="O211" s="9" t="str">
        <x:v>PASS</x:v>
      </x:c>
      <x:c r="P211" s="9" t="str">
        <x:v>Post-fix acceptance passed for Edit branch: 1 exact named test(s) matched and passed on build 1.2.3+156.</x:v>
      </x:c>
      <x:c r="Q211" s="9" t="str"/>
      <x:c r="R211" s="9" t="str">
        <x:v>P0</x:v>
      </x:c>
      <x:c r="S211" s="9" t="str">
        <x:v>2026-08-06</x:v>
      </x:c>
      <x:c r="T211" s="9" t="str">
        <x:v>evidence/server-test-json-final-156.json</x:v>
      </x:c>
      <x:c r="U211" s="9" t="str">
        <x:v>Server: server/src/crm/branches.service.spec.ts :: BranchesService updates a branch's utc offset and returns the dto</x:v>
      </x:c>
    </x:row>
    <x:row r="212">
      <x:c r="A212" s="9" t="str">
        <x:v>CFG-005</x:v>
      </x:c>
      <x:c r="B212" s="9" t="str">
        <x:v>Configuration &amp; Operations</x:v>
      </x:c>
      <x:c r="C212" s="9" t="str">
        <x:v>Room list/availability</x:v>
      </x:c>
      <x:c r="D212" s="9" t="str">
        <x:v>settings/schedule user</x:v>
      </x:c>
      <x:c r="E212" s="9" t="str">
        <x:v>Как settings/schedule user, я хочу видеть аудитории, чтобы рабочий сценарий был предсказуемым.</x:v>
      </x:c>
      <x:c r="F212" s="9" t="str">
        <x:v>Пользователь вошёл; Settings section/capability разрешены.</x:v>
      </x:c>
      <x:c r="G212" s="9" t="str">
        <x:v>Открыть Settings, выбрать раздел и выполнить read/edit/publish action.</x:v>
      </x:c>
      <x:c r="H212" s="9" t="str">
        <x:v>Rooms are branch-scoped; availability query uses selected interval.</x:v>
      </x:c>
      <x:c r="I212" s="9" t="str">
        <x:v>facility read</x:v>
      </x:c>
      <x:c r="J212" s="9" t="str">
        <x:v>Windows, Android</x:v>
      </x:c>
      <x:c r="K212" s="9" t="str">
        <x:v>lib/features/admin/presentation/widgets/manage_entities_widget.dart; lib/features/crm/presentation/configuration</x:v>
      </x:c>
      <x:c r="L212" s="9" t="str">
        <x:v>server/src/crm/crm-configuration.controller.ts; crm-facilities.controller.ts; schedule/availability.controller.ts; server/src/access-control</x:v>
      </x:c>
      <x:c r="M212" s="9" t="str">
        <x:v>test/features/admin/*entities*; test/features/crm/*configuration*; server/src/access-control/*.spec.ts; docs/audits/v6-unified-crm-configuration.md</x:v>
      </x:c>
      <x:c r="N212" s="9" t="str">
        <x:v>CODE-BACKED</x:v>
      </x:c>
      <x:c r="O212" s="9" t="str">
        <x:v>PASS</x:v>
      </x:c>
      <x:c r="P212" s="9" t="str">
        <x:v>Post-fix acceptance passed for Room list/availability: 1 exact named test(s) matched and passed on build 1.2.3+156.</x:v>
      </x:c>
      <x:c r="Q212" s="9" t="str"/>
      <x:c r="R212" s="9" t="str">
        <x:v>P1</x:v>
      </x:c>
      <x:c r="S212" s="9" t="str">
        <x:v>2026-08-06</x:v>
      </x:c>
      <x:c r="T212" s="9" t="str">
        <x:v>evidence/server-test-json-final-156.json</x:v>
      </x:c>
      <x:c r="U212" s="9" t="str">
        <x:v>Server: server/src/crm/rooms.service.spec.ts :: RoomsService returns room availability with slot conflicts</x:v>
      </x:c>
    </x:row>
    <x:row r="213">
      <x:c r="A213" s="9" t="str">
        <x:v>CFG-006</x:v>
      </x:c>
      <x:c r="B213" s="9" t="str">
        <x:v>Configuration &amp; Operations</x:v>
      </x:c>
      <x:c r="C213" s="9" t="str">
        <x:v>Create room</x:v>
      </x:c>
      <x:c r="D213" s="9" t="str">
        <x:v>разрешённый config actor</x:v>
      </x:c>
      <x:c r="E213" s="9" t="str">
        <x:v>Как разрешённый config actor, я хочу создать аудиторию, чтобы рабочий сценарий был предсказуемым.</x:v>
      </x:c>
      <x:c r="F213" s="9" t="str">
        <x:v>Пользователь вошёл; Settings section/capability разрешены.</x:v>
      </x:c>
      <x:c r="G213" s="9" t="str">
        <x:v>Открыть Settings, выбрать раздел и выполнить read/edit/publish action.</x:v>
      </x:c>
      <x:c r="H213" s="9" t="str">
        <x:v>Room belongs to explicit Branch and appears in schedule selectors.</x:v>
      </x:c>
      <x:c r="I213" s="9" t="str">
        <x:v>facility write</x:v>
      </x:c>
      <x:c r="J213" s="9" t="str">
        <x:v>Windows, Android</x:v>
      </x:c>
      <x:c r="K213" s="9" t="str">
        <x:v>lib/features/admin/presentation/widgets/manage_entities_widget.dart; lib/features/crm/presentation/configuration</x:v>
      </x:c>
      <x:c r="L213" s="9" t="str">
        <x:v>server/src/crm/crm-configuration.controller.ts; crm-facilities.controller.ts; schedule/availability.controller.ts; server/src/access-control</x:v>
      </x:c>
      <x:c r="M213" s="9" t="str">
        <x:v>test/features/admin/*entities*; test/features/crm/*configuration*; server/src/access-control/*.spec.ts; docs/audits/v6-unified-crm-configuration.md</x:v>
      </x:c>
      <x:c r="N213" s="9" t="str">
        <x:v>CODE-BACKED</x:v>
      </x:c>
      <x:c r="O213" s="9" t="str">
        <x:v>PASS</x:v>
      </x:c>
      <x:c r="P213" s="9" t="str">
        <x:v>Post-fix acceptance passed for Create room: 1 exact named test(s) matched and passed on build 1.2.3+156.</x:v>
      </x:c>
      <x:c r="Q213" s="9" t="str"/>
      <x:c r="R213" s="9" t="str">
        <x:v>P0</x:v>
      </x:c>
      <x:c r="S213" s="9" t="str">
        <x:v>2026-08-06</x:v>
      </x:c>
      <x:c r="T213" s="9" t="str">
        <x:v>evidence/server-test-json-final-156.json</x:v>
      </x:c>
      <x:c r="U213" s="9" t="str">
        <x:v>Server: server/src/crm/rooms.service.spec.ts :: RoomsService creates rooms through CRM write policy and audit</x:v>
      </x:c>
    </x:row>
    <x:row r="214">
      <x:c r="A214" s="9" t="str">
        <x:v>CFG-007</x:v>
      </x:c>
      <x:c r="B214" s="9" t="str">
        <x:v>Configuration &amp; Operations</x:v>
      </x:c>
      <x:c r="C214" s="9" t="str">
        <x:v>Edit room</x:v>
      </x:c>
      <x:c r="D214" s="9" t="str">
        <x:v>разрешённый config actor</x:v>
      </x:c>
      <x:c r="E214" s="9" t="str">
        <x:v>Как разрешённый config actor, я хочу переименовать/изменить аудиторию, чтобы рабочий сценарий был предсказуемым.</x:v>
      </x:c>
      <x:c r="F214" s="9" t="str">
        <x:v>Пользователь вошёл; Settings section/capability разрешены.</x:v>
      </x:c>
      <x:c r="G214" s="9" t="str">
        <x:v>Открыть Settings, выбрать раздел и выполнить read/edit/publish action.</x:v>
      </x:c>
      <x:c r="H214" s="9" t="str">
        <x:v>Change is versioned and future-facing; historical Lesson snapshot remains meaningful.</x:v>
      </x:c>
      <x:c r="I214" s="9" t="str">
        <x:v>facility write</x:v>
      </x:c>
      <x:c r="J214" s="9" t="str">
        <x:v>Windows, Android</x:v>
      </x:c>
      <x:c r="K214" s="9" t="str">
        <x:v>lib/features/admin/presentation/widgets/manage_entities_widget.dart; lib/features/crm/presentation/configuration</x:v>
      </x:c>
      <x:c r="L214" s="9" t="str">
        <x:v>server/src/crm/crm-configuration.controller.ts; crm-facilities.controller.ts; schedule/availability.controller.ts; server/src/access-control</x:v>
      </x:c>
      <x:c r="M214" s="9" t="str">
        <x:v>test/features/admin/*entities*; test/features/crm/*configuration*; server/src/access-control/*.spec.ts; docs/audits/v6-unified-crm-configuration.md</x:v>
      </x:c>
      <x:c r="N214" s="9" t="str">
        <x:v>CODE-BACKED</x:v>
      </x:c>
      <x:c r="O214" s="9" t="str">
        <x:v>PASS</x:v>
      </x:c>
      <x:c r="P214" s="9" t="str">
        <x:v>Post-fix acceptance passed for Edit room: 1 exact named test(s) matched and passed on build 1.2.3+156.</x:v>
      </x:c>
      <x:c r="Q214" s="9" t="str"/>
      <x:c r="R214" s="9" t="str">
        <x:v>P1</x:v>
      </x:c>
      <x:c r="S214" s="9" t="str">
        <x:v>2026-08-06</x:v>
      </x:c>
      <x:c r="T214" s="9" t="str">
        <x:v>evidence/server-test-json-final-156.json</x:v>
      </x:c>
      <x:c r="U214" s="9" t="str">
        <x:v>Server: server/src/crm/rooms.service.spec.ts :: RoomsService updates and soft-deletes rooms through CRM write policy</x:v>
      </x:c>
    </x:row>
    <x:row r="215">
      <x:c r="A215" s="9" t="str">
        <x:v>CFG-008</x:v>
      </x:c>
      <x:c r="B215" s="9" t="str">
        <x:v>Configuration &amp; Operations</x:v>
      </x:c>
      <x:c r="C215" s="9" t="str">
        <x:v>Delete room</x:v>
      </x:c>
      <x:c r="D215" s="9" t="str">
        <x:v>разрешённый config actor</x:v>
      </x:c>
      <x:c r="E215" s="9" t="str">
        <x:v>Как разрешённый config actor, я хочу удалить допустимую аудиторию, чтобы рабочий сценарий был предсказуемым.</x:v>
      </x:c>
      <x:c r="F215" s="9" t="str">
        <x:v>Пользователь вошёл; Settings section/capability разрешены.</x:v>
      </x:c>
      <x:c r="G215" s="9" t="str">
        <x:v>Открыть Settings, выбрать раздел и выполнить read/edit/publish action.</x:v>
      </x:c>
      <x:c r="H215" s="9" t="str">
        <x:v>Concise confirmation; linked active schedule conflicts block destructive delete with explanation.</x:v>
      </x:c>
      <x:c r="I215" s="9" t="str">
        <x:v>facility write</x:v>
      </x:c>
      <x:c r="J215" s="9" t="str">
        <x:v>Windows, Android</x:v>
      </x:c>
      <x:c r="K215" s="9" t="str">
        <x:v>lib/features/admin/presentation/widgets/manage_entities_widget.dart; lib/features/crm/presentation/configuration</x:v>
      </x:c>
      <x:c r="L215" s="9" t="str">
        <x:v>server/src/crm/crm-configuration.controller.ts; crm-facilities.controller.ts; schedule/availability.controller.ts; server/src/access-control</x:v>
      </x:c>
      <x:c r="M215" s="9" t="str">
        <x:v>test/features/admin/*entities*; test/features/crm/*configuration*; server/src/access-control/*.spec.ts; docs/audits/v6-unified-crm-configuration.md</x:v>
      </x:c>
      <x:c r="N215" s="9" t="str">
        <x:v>CODE-BACKED</x:v>
      </x:c>
      <x:c r="O215" s="9" t="str">
        <x:v>PASS</x:v>
      </x:c>
      <x:c r="P215" s="9" t="str">
        <x:v>Post-fix acceptance passed for Delete room: 1 exact named test(s) matched and passed on build 1.2.3+156.</x:v>
      </x:c>
      <x:c r="Q215" s="9" t="str"/>
      <x:c r="R215" s="9" t="str">
        <x:v>P0</x:v>
      </x:c>
      <x:c r="S215" s="9" t="str">
        <x:v>2026-08-06</x:v>
      </x:c>
      <x:c r="T215" s="9" t="str">
        <x:v>evidence/server-test-json-final-156.json</x:v>
      </x:c>
      <x:c r="U215" s="9" t="str">
        <x:v>Server: server/src/crm/rooms.service.spec.ts :: RoomsService updates and soft-deletes rooms through CRM write policy</x:v>
      </x:c>
    </x:row>
    <x:row r="216">
      <x:c r="A216" s="9" t="str">
        <x:v>CFG-009</x:v>
      </x:c>
      <x:c r="B216" s="9" t="str">
        <x:v>Configuration &amp; Operations</x:v>
      </x:c>
      <x:c r="C216" s="9" t="str">
        <x:v>Group list</x:v>
      </x:c>
      <x:c r="D216" s="9" t="str">
        <x:v>settings reader</x:v>
      </x:c>
      <x:c r="E216" s="9" t="str">
        <x:v>Как settings reader, я хочу видеть учебные группы, чтобы рабочий сценарий был предсказуемым.</x:v>
      </x:c>
      <x:c r="F216" s="9" t="str">
        <x:v>Пользователь вошёл; Settings section/capability разрешены.</x:v>
      </x:c>
      <x:c r="G216" s="9" t="str">
        <x:v>Открыть Settings, выбрать раздел и выполнить read/edit/publish action.</x:v>
      </x:c>
      <x:c r="H216" s="9" t="str">
        <x:v>Groups are branch/actor-scoped with student counts and human labels.</x:v>
      </x:c>
      <x:c r="I216" s="9" t="str">
        <x:v>group read</x:v>
      </x:c>
      <x:c r="J216" s="9" t="str">
        <x:v>Windows, Android</x:v>
      </x:c>
      <x:c r="K216" s="9" t="str">
        <x:v>lib/features/admin/presentation/widgets/manage_entities_widget.dart; lib/features/crm/presentation/configuration</x:v>
      </x:c>
      <x:c r="L216" s="9" t="str">
        <x:v>server/src/crm/crm-configuration.controller.ts; crm-facilities.controller.ts; schedule/availability.controller.ts; server/src/access-control</x:v>
      </x:c>
      <x:c r="M216" s="9" t="str">
        <x:v>test/features/admin/*entities*; test/features/crm/*configuration*; server/src/access-control/*.spec.ts; docs/audits/v6-unified-crm-configuration.md</x:v>
      </x:c>
      <x:c r="N216" s="9" t="str">
        <x:v>CODE-BACKED</x:v>
      </x:c>
      <x:c r="O216" s="9" t="str">
        <x:v>RETEST PASS</x:v>
      </x:c>
      <x:c r="P216" s="9" t="str">
        <x:v>Every Group card now shows `Учеников: N`; backend list projection calculates active membership count and the Flutter mapper preserves it.</x:v>
      </x:c>
      <x:c r="Q216" s="9" t="str">
        <x:v>ERR-010</x:v>
      </x:c>
      <x:c r="R216" s="9" t="str">
        <x:v>P1</x:v>
      </x:c>
      <x:c r="S216" s="9" t="str">
        <x:v>2026-08-06</x:v>
      </x:c>
      <x:c r="T216" s="9" t="str">
        <x:v>evidence/postfix-settings-groups.txt; evidence/server-test-full-postfix.txt</x:v>
      </x:c>
      <x:c r="U216" s="9" t="str">
        <x:v>Current remote backend has no count field yet, so the compatibility default is zero until server rollout.</x:v>
      </x:c>
    </x:row>
    <x:row r="217">
      <x:c r="A217" s="9" t="str">
        <x:v>CFG-010</x:v>
      </x:c>
      <x:c r="B217" s="9" t="str">
        <x:v>Configuration &amp; Operations</x:v>
      </x:c>
      <x:c r="C217" s="9" t="str">
        <x:v>Create/edit group</x:v>
      </x:c>
      <x:c r="D217" s="9" t="str">
        <x:v>разрешённый staff</x:v>
      </x:c>
      <x:c r="E217" s="9" t="str">
        <x:v>Как разрешённый staff, я хочу управлять группой, чтобы рабочий сценарий был предсказуемым.</x:v>
      </x:c>
      <x:c r="F217" s="9" t="str">
        <x:v>Пользователь вошёл; Settings section/capability разрешены.</x:v>
      </x:c>
      <x:c r="G217" s="9" t="str">
        <x:v>Открыть Settings, выбрать раздел и выполнить read/edit/publish action.</x:v>
      </x:c>
      <x:c r="H217" s="9" t="str">
        <x:v>Name/branch/teacher fields validate; one canonical Group updated.</x:v>
      </x:c>
      <x:c r="I217" s="9" t="str">
        <x:v>group write</x:v>
      </x:c>
      <x:c r="J217" s="9" t="str">
        <x:v>Windows, Android</x:v>
      </x:c>
      <x:c r="K217" s="9" t="str">
        <x:v>lib/features/admin/presentation/widgets/manage_entities_widget.dart; lib/features/crm/presentation/configuration</x:v>
      </x:c>
      <x:c r="L217" s="9" t="str">
        <x:v>server/src/crm/crm-configuration.controller.ts; crm-facilities.controller.ts; schedule/availability.controller.ts; server/src/access-control</x:v>
      </x:c>
      <x:c r="M217" s="9" t="str">
        <x:v>test/features/admin/*entities*; test/features/crm/*configuration*; server/src/access-control/*.spec.ts; docs/audits/v6-unified-crm-configuration.md</x:v>
      </x:c>
      <x:c r="N217" s="9" t="str">
        <x:v>CODE-BACKED</x:v>
      </x:c>
      <x:c r="O217" s="9" t="str">
        <x:v>PASS</x:v>
      </x:c>
      <x:c r="P217" s="9" t="str">
        <x:v>Post-fix acceptance passed for Create/edit group: 1 exact named test(s) matched and passed on build 1.2.3+156.</x:v>
      </x:c>
      <x:c r="Q217" s="9" t="str"/>
      <x:c r="R217" s="9" t="str">
        <x:v>P1</x:v>
      </x:c>
      <x:c r="S217" s="9" t="str">
        <x:v>2026-08-06</x:v>
      </x:c>
      <x:c r="T217" s="9" t="str">
        <x:v>evidence/flutter-test-machine-final-156.ndjson</x:v>
      </x:c>
      <x:c r="U217" s="9" t="str">
        <x:v>Flutter: test/core/services/magic_crm_service_test.dart :: MagicCrmService creates groups and manages group students through v3 API</x:v>
      </x:c>
    </x:row>
    <x:row r="218">
      <x:c r="A218" s="9" t="str">
        <x:v>CFG-011</x:v>
      </x:c>
      <x:c r="B218" s="9" t="str">
        <x:v>Configuration &amp; Operations</x:v>
      </x:c>
      <x:c r="C218" s="9" t="str">
        <x:v>Group membership</x:v>
      </x:c>
      <x:c r="D218" s="9" t="str">
        <x:v>разрешённый staff</x:v>
      </x:c>
      <x:c r="E218" s="9" t="str">
        <x:v>Как разрешённый staff, я хочу добавить/убрать Student, чтобы рабочий сценарий был предсказуемым.</x:v>
      </x:c>
      <x:c r="F218" s="9" t="str">
        <x:v>Пользователь вошёл; Settings section/capability разрешены.</x:v>
      </x:c>
      <x:c r="G218" s="9" t="str">
        <x:v>Открыть Settings, выбрать раздел и выполнить read/edit/publish action.</x:v>
      </x:c>
      <x:c r="H218" s="9" t="str">
        <x:v>Membership changes are explicit, duplicate add prevented, removal does not delete Student.</x:v>
      </x:c>
      <x:c r="I218" s="9" t="str">
        <x:v>group write + client scope</x:v>
      </x:c>
      <x:c r="J218" s="9" t="str">
        <x:v>Windows, Android</x:v>
      </x:c>
      <x:c r="K218" s="9" t="str">
        <x:v>lib/features/admin/presentation/widgets/manage_entities_widget.dart; lib/features/crm/presentation/configuration</x:v>
      </x:c>
      <x:c r="L218" s="9" t="str">
        <x:v>server/src/crm/crm-configuration.controller.ts; crm-facilities.controller.ts; schedule/availability.controller.ts; server/src/access-control</x:v>
      </x:c>
      <x:c r="M218" s="9" t="str">
        <x:v>test/features/admin/*entities*; test/features/crm/*configuration*; server/src/access-control/*.spec.ts; docs/audits/v6-unified-crm-configuration.md</x:v>
      </x:c>
      <x:c r="N218" s="9" t="str">
        <x:v>CODE-BACKED</x:v>
      </x:c>
      <x:c r="O218" s="9" t="str">
        <x:v>PASS</x:v>
      </x:c>
      <x:c r="P218" s="9" t="str">
        <x:v>Post-fix acceptance passed for Group membership: 1 exact named test(s) matched and passed on build 1.2.3+156.</x:v>
      </x:c>
      <x:c r="Q218" s="9" t="str"/>
      <x:c r="R218" s="9" t="str">
        <x:v>P0</x:v>
      </x:c>
      <x:c r="S218" s="9" t="str">
        <x:v>2026-08-06</x:v>
      </x:c>
      <x:c r="T218" s="9" t="str">
        <x:v>evidence/flutter-test-machine-final-156.ndjson</x:v>
      </x:c>
      <x:c r="U218" s="9" t="str">
        <x:v>Flutter: test/core/services/magic_crm_service_test.dart :: MagicCrmService creates groups and manages group students through v3 API</x:v>
      </x:c>
    </x:row>
    <x:row r="219">
      <x:c r="A219" s="9" t="str">
        <x:v>CFG-012</x:v>
      </x:c>
      <x:c r="B219" s="9" t="str">
        <x:v>Configuration &amp; Operations</x:v>
      </x:c>
      <x:c r="C219" s="9" t="str">
        <x:v>Effective CRM config</x:v>
      </x:c>
      <x:c r="D219" s="9" t="str">
        <x:v>config reader</x:v>
      </x:c>
      <x:c r="E219" s="9" t="str">
        <x:v>Как config reader, я хочу видеть действующие правила, чтобы рабочий сценарий был предсказуемым.</x:v>
      </x:c>
      <x:c r="F219" s="9" t="str">
        <x:v>Пользователь вошёл; Settings section/capability разрешены.</x:v>
      </x:c>
      <x:c r="G219" s="9" t="str">
        <x:v>Открыть Settings, выбрать раздел и выполнить read/edit/publish action.</x:v>
      </x:c>
      <x:c r="H219" s="9" t="str">
        <x:v>Projection = published school default + allowed sparse Branch override and includes revision/version.</x:v>
      </x:c>
      <x:c r="I219" s="9" t="str">
        <x:v>config.crm.read</x:v>
      </x:c>
      <x:c r="J219" s="9" t="str">
        <x:v>Windows, Android</x:v>
      </x:c>
      <x:c r="K219" s="9" t="str">
        <x:v>lib/features/admin/presentation/widgets/manage_entities_widget.dart; lib/features/crm/presentation/configuration</x:v>
      </x:c>
      <x:c r="L219" s="9" t="str">
        <x:v>server/src/crm/crm-configuration.controller.ts; crm-facilities.controller.ts; schedule/availability.controller.ts; server/src/access-control</x:v>
      </x:c>
      <x:c r="M219" s="9" t="str">
        <x:v>test/features/admin/*entities*; test/features/crm/*configuration*; server/src/access-control/*.spec.ts; docs/audits/v6-unified-crm-configuration.md</x:v>
      </x:c>
      <x:c r="N219" s="9" t="str">
        <x:v>CODE-BACKED</x:v>
      </x:c>
      <x:c r="O219" s="9" t="str">
        <x:v>PASS</x:v>
      </x:c>
      <x:c r="P219" s="9" t="str">
        <x:v>Post-fix acceptance passed for Effective CRM config: 1 exact named test(s) matched and passed on build 1.2.3+156.</x:v>
      </x:c>
      <x:c r="Q219" s="9" t="str"/>
      <x:c r="R219" s="9" t="str">
        <x:v>P0</x:v>
      </x:c>
      <x:c r="S219" s="9" t="str">
        <x:v>2026-08-06</x:v>
      </x:c>
      <x:c r="T219" s="9" t="str">
        <x:v>evidence/server-test-json-final-156.json</x:v>
      </x:c>
      <x:c r="U219" s="9" t="str">
        <x:v>Server: server/src/crm/student-funnel-postgres.integration.spec.ts :: Student funnel effective configuration (PostgreSQL) publishes school defaults and a sparse branch override</x:v>
      </x:c>
    </x:row>
    <x:row r="220">
      <x:c r="A220" s="9" t="str">
        <x:v>CFG-013</x:v>
      </x:c>
      <x:c r="B220" s="9" t="str">
        <x:v>Configuration &amp; Operations</x:v>
      </x:c>
      <x:c r="C220" s="9" t="str">
        <x:v>CRM draft</x:v>
      </x:c>
      <x:c r="D220" s="9" t="str">
        <x:v>config editor</x:v>
      </x:c>
      <x:c r="E220" s="9" t="str">
        <x:v>Как config editor, я хочу редактировать черновик, чтобы рабочий сценарий был предсказуемым.</x:v>
      </x:c>
      <x:c r="F220" s="9" t="str">
        <x:v>Пользователь вошёл; Settings section/capability разрешены.</x:v>
      </x:c>
      <x:c r="G220" s="9" t="str">
        <x:v>Открыть Settings, выбрать раздел и выполнить read/edit/publish action.</x:v>
      </x:c>
      <x:c r="H220" s="9" t="str">
        <x:v>Draft isolated from production forms until publish; expectedVersion detects concurrent edit.</x:v>
      </x:c>
      <x:c r="I220" s="9" t="str">
        <x:v>config.crm.edit</x:v>
      </x:c>
      <x:c r="J220" s="9" t="str">
        <x:v>Windows, Android</x:v>
      </x:c>
      <x:c r="K220" s="9" t="str">
        <x:v>lib/features/admin/presentation/widgets/manage_entities_widget.dart; lib/features/crm/presentation/configuration</x:v>
      </x:c>
      <x:c r="L220" s="9" t="str">
        <x:v>server/src/crm/crm-configuration.controller.ts; crm-facilities.controller.ts; schedule/availability.controller.ts; server/src/access-control</x:v>
      </x:c>
      <x:c r="M220" s="9" t="str">
        <x:v>test/features/admin/*entities*; test/features/crm/*configuration*; server/src/access-control/*.spec.ts; docs/audits/v6-unified-crm-configuration.md</x:v>
      </x:c>
      <x:c r="N220" s="9" t="str">
        <x:v>CODE-BACKED</x:v>
      </x:c>
      <x:c r="O220" s="9" t="str">
        <x:v>PASS</x:v>
      </x:c>
      <x:c r="P220" s="9" t="str">
        <x:v>Post-fix acceptance passed for CRM draft: 1 exact named test(s) matched and passed on build 1.2.3+156.</x:v>
      </x:c>
      <x:c r="Q220" s="9" t="str"/>
      <x:c r="R220" s="9" t="str">
        <x:v>P0</x:v>
      </x:c>
      <x:c r="S220" s="9" t="str">
        <x:v>2026-08-06</x:v>
      </x:c>
      <x:c r="T220" s="9" t="str">
        <x:v>evidence/flutter-test-machine-final-156.ndjson</x:v>
      </x:c>
      <x:c r="U220" s="9" t="str">
        <x:v>Flutter: test/features/v6/crm_configuration_workspace_test.dart :: director edits a draft and publishes through impact preview</x:v>
      </x:c>
    </x:row>
    <x:row r="221">
      <x:c r="A221" s="9" t="str">
        <x:v>CFG-014</x:v>
      </x:c>
      <x:c r="B221" s="9" t="str">
        <x:v>Configuration &amp; Operations</x:v>
      </x:c>
      <x:c r="C221" s="9" t="str">
        <x:v>Lead fields</x:v>
      </x:c>
      <x:c r="D221" s="9" t="str">
        <x:v>config editor</x:v>
      </x:c>
      <x:c r="E221" s="9" t="str">
        <x:v>Как config editor, я хочу настроить поля Lead, чтобы рабочий сценарий был предсказуемым.</x:v>
      </x:c>
      <x:c r="F221" s="9" t="str">
        <x:v>Пользователь вошёл; Settings section/capability разрешены.</x:v>
      </x:c>
      <x:c r="G221" s="9" t="str">
        <x:v>Открыть Settings, выбрать раздел и выполнить read/edit/publish action.</x:v>
      </x:c>
      <x:c r="H221" s="9" t="str">
        <x:v>Type/required/label/optionset references validate; fields with values cannot change incompatibly.</x:v>
      </x:c>
      <x:c r="I221" s="9" t="str">
        <x:v>config.crm.edit</x:v>
      </x:c>
      <x:c r="J221" s="9" t="str">
        <x:v>Windows, Android</x:v>
      </x:c>
      <x:c r="K221" s="9" t="str">
        <x:v>lib/features/admin/presentation/widgets/manage_entities_widget.dart; lib/features/crm/presentation/configuration</x:v>
      </x:c>
      <x:c r="L221" s="9" t="str">
        <x:v>server/src/crm/crm-configuration.controller.ts; crm-facilities.controller.ts; schedule/availability.controller.ts; server/src/access-control</x:v>
      </x:c>
      <x:c r="M221" s="9" t="str">
        <x:v>test/features/admin/*entities*; test/features/crm/*configuration*; server/src/access-control/*.spec.ts; docs/audits/v6-unified-crm-configuration.md</x:v>
      </x:c>
      <x:c r="N221" s="9" t="str">
        <x:v>CODE-BACKED</x:v>
      </x:c>
      <x:c r="O221" s="9" t="str">
        <x:v>PASS</x:v>
      </x:c>
      <x:c r="P221" s="9" t="str">
        <x:v>Post-fix acceptance passed for Lead fields: 1 exact named test(s) matched and passed on build 1.2.3+156.</x:v>
      </x:c>
      <x:c r="Q221" s="9" t="str"/>
      <x:c r="R221" s="9" t="str">
        <x:v>P0</x:v>
      </x:c>
      <x:c r="S221" s="9" t="str">
        <x:v>2026-08-06</x:v>
      </x:c>
      <x:c r="T221" s="9" t="str">
        <x:v>evidence/server-test-json-final-156.json</x:v>
      </x:c>
      <x:c r="U221" s="9" t="str">
        <x:v>Server: server/src/crm/clients/client-config-postgres.integration.spec.ts :: Client configuration and strict validators (PostgreSQL) keeps system required fields locked</x:v>
      </x:c>
    </x:row>
    <x:row r="222">
      <x:c r="A222" s="9" t="str">
        <x:v>CFG-015</x:v>
      </x:c>
      <x:c r="B222" s="9" t="str">
        <x:v>Configuration &amp; Operations</x:v>
      </x:c>
      <x:c r="C222" s="9" t="str">
        <x:v>Student fields</x:v>
      </x:c>
      <x:c r="D222" s="9" t="str">
        <x:v>config editor</x:v>
      </x:c>
      <x:c r="E222" s="9" t="str">
        <x:v>Как config editor, я хочу настроить поля Student, чтобы рабочий сценарий был предсказуемым.</x:v>
      </x:c>
      <x:c r="F222" s="9" t="str">
        <x:v>Пользователь вошёл; Settings section/capability разрешены.</x:v>
      </x:c>
      <x:c r="G222" s="9" t="str">
        <x:v>Открыть Settings, выбрать раздел и выполнить read/edit/publish action.</x:v>
      </x:c>
      <x:c r="H222" s="9" t="str">
        <x:v>Effective forms/backend validators consume the same published definitions.</x:v>
      </x:c>
      <x:c r="I222" s="9" t="str">
        <x:v>config.crm.edit</x:v>
      </x:c>
      <x:c r="J222" s="9" t="str">
        <x:v>Windows, Android</x:v>
      </x:c>
      <x:c r="K222" s="9" t="str">
        <x:v>lib/features/admin/presentation/widgets/manage_entities_widget.dart; lib/features/crm/presentation/configuration</x:v>
      </x:c>
      <x:c r="L222" s="9" t="str">
        <x:v>server/src/crm/crm-configuration.controller.ts; crm-facilities.controller.ts; schedule/availability.controller.ts; server/src/access-control</x:v>
      </x:c>
      <x:c r="M222" s="9" t="str">
        <x:v>test/features/admin/*entities*; test/features/crm/*configuration*; server/src/access-control/*.spec.ts; docs/audits/v6-unified-crm-configuration.md</x:v>
      </x:c>
      <x:c r="N222" s="9" t="str">
        <x:v>CODE-BACKED</x:v>
      </x:c>
      <x:c r="O222" s="9" t="str">
        <x:v>PASS</x:v>
      </x:c>
      <x:c r="P222" s="9" t="str">
        <x:v>Post-fix acceptance passed for Student fields: 1 exact named test(s) matched and passed on build 1.2.3+156.</x:v>
      </x:c>
      <x:c r="Q222" s="9" t="str"/>
      <x:c r="R222" s="9" t="str">
        <x:v>P0</x:v>
      </x:c>
      <x:c r="S222" s="9" t="str">
        <x:v>2026-08-06</x:v>
      </x:c>
      <x:c r="T222" s="9" t="str">
        <x:v>evidence/server-test-json-final-156.json</x:v>
      </x:c>
      <x:c r="U222" s="9" t="str">
        <x:v>Server: server/src/crm/clients/client-config-postgres.integration.spec.ts :: Client configuration and strict validators (PostgreSQL) normalizes valid phones and validates the Student required minimum</x:v>
      </x:c>
    </x:row>
    <x:row r="223">
      <x:c r="A223" s="9" t="str">
        <x:v>CFG-016</x:v>
      </x:c>
      <x:c r="B223" s="9" t="str">
        <x:v>Configuration &amp; Operations</x:v>
      </x:c>
      <x:c r="C223" s="9" t="str">
        <x:v>Reusable option sets</x:v>
      </x:c>
      <x:c r="D223" s="9" t="str">
        <x:v>config editor</x:v>
      </x:c>
      <x:c r="E223" s="9" t="str">
        <x:v>Как config editor, я хочу управлять вариантами полей централизованно, чтобы рабочий сценарий был предсказуемым.</x:v>
      </x:c>
      <x:c r="F223" s="9" t="str">
        <x:v>Пользователь вошёл; Settings section/capability разрешены.</x:v>
      </x:c>
      <x:c r="G223" s="9" t="str">
        <x:v>Открыть Settings, выбрать раздел и выполнить read/edit/publish action.</x:v>
      </x:c>
      <x:c r="H223" s="9" t="str">
        <x:v>Variants live only in option sets; compatible fields reference them, field editor does not duplicate variant editing.</x:v>
      </x:c>
      <x:c r="I223" s="9" t="str">
        <x:v>config.crm.edit</x:v>
      </x:c>
      <x:c r="J223" s="9" t="str">
        <x:v>Windows, Android</x:v>
      </x:c>
      <x:c r="K223" s="9" t="str">
        <x:v>lib/features/admin/presentation/widgets/manage_entities_widget.dart; lib/features/crm/presentation/configuration</x:v>
      </x:c>
      <x:c r="L223" s="9" t="str">
        <x:v>server/src/crm/crm-configuration.controller.ts; crm-facilities.controller.ts; schedule/availability.controller.ts; server/src/access-control</x:v>
      </x:c>
      <x:c r="M223" s="9" t="str">
        <x:v>test/features/admin/*entities*; test/features/crm/*configuration*; server/src/access-control/*.spec.ts; docs/audits/v6-unified-crm-configuration.md</x:v>
      </x:c>
      <x:c r="N223" s="9" t="str">
        <x:v>CODE-BACKED</x:v>
      </x:c>
      <x:c r="O223" s="9" t="str">
        <x:v>PASS</x:v>
      </x:c>
      <x:c r="P223" s="9" t="str">
        <x:v>Post-fix acceptance passed for Reusable option sets: 1 exact named test(s) matched and passed on build 1.2.3+156.</x:v>
      </x:c>
      <x:c r="Q223" s="9" t="str"/>
      <x:c r="R223" s="9" t="str">
        <x:v>P0</x:v>
      </x:c>
      <x:c r="S223" s="9" t="str">
        <x:v>2026-08-06</x:v>
      </x:c>
      <x:c r="T223" s="9" t="str">
        <x:v>evidence/flutter-test-machine-final-156.ndjson</x:v>
      </x:c>
      <x:c r="U223" s="9" t="str">
        <x:v>Flutter: test/features/v6/crm_configuration_workspace_test.dart :: inline field options migrate losslessly to one option set</x:v>
      </x:c>
    </x:row>
    <x:row r="224">
      <x:c r="A224" s="9" t="str">
        <x:v>CFG-017</x:v>
      </x:c>
      <x:c r="B224" s="9" t="str">
        <x:v>Configuration &amp; Operations</x:v>
      </x:c>
      <x:c r="C224" s="9" t="str">
        <x:v>Layout/placements</x:v>
      </x:c>
      <x:c r="D224" s="9" t="str">
        <x:v>config editor</x:v>
      </x:c>
      <x:c r="E224" s="9" t="str">
        <x:v>Как config editor, я хочу настроить расположение полей, чтобы рабочий сценарий был предсказуемым.</x:v>
      </x:c>
      <x:c r="F224" s="9" t="str">
        <x:v>Пользователь вошёл; Settings section/capability разрешены.</x:v>
      </x:c>
      <x:c r="G224" s="9" t="str">
        <x:v>Открыть Settings, выбрать раздел и выполнить read/edit/publish action.</x:v>
      </x:c>
      <x:c r="H224" s="9" t="str">
        <x:v>Only allowlisted sections/placements publish; forms render effective order consistently.</x:v>
      </x:c>
      <x:c r="I224" s="9" t="str">
        <x:v>config.crm.edit</x:v>
      </x:c>
      <x:c r="J224" s="9" t="str">
        <x:v>Windows, Android</x:v>
      </x:c>
      <x:c r="K224" s="9" t="str">
        <x:v>lib/features/admin/presentation/widgets/manage_entities_widget.dart; lib/features/crm/presentation/configuration</x:v>
      </x:c>
      <x:c r="L224" s="9" t="str">
        <x:v>server/src/crm/crm-configuration.controller.ts; crm-facilities.controller.ts; schedule/availability.controller.ts; server/src/access-control</x:v>
      </x:c>
      <x:c r="M224" s="9" t="str">
        <x:v>test/features/admin/*entities*; test/features/crm/*configuration*; server/src/access-control/*.spec.ts; docs/audits/v6-unified-crm-configuration.md</x:v>
      </x:c>
      <x:c r="N224" s="9" t="str">
        <x:v>CODE-BACKED</x:v>
      </x:c>
      <x:c r="O224" s="9" t="str">
        <x:v>PASS</x:v>
      </x:c>
      <x:c r="P224" s="9" t="str">
        <x:v>Post-fix acceptance passed for Layout/placements: 1 exact named test(s) matched and passed on build 1.2.3+156.</x:v>
      </x:c>
      <x:c r="Q224" s="9" t="str"/>
      <x:c r="R224" s="9" t="str">
        <x:v>P1</x:v>
      </x:c>
      <x:c r="S224" s="9" t="str">
        <x:v>2026-08-06</x:v>
      </x:c>
      <x:c r="T224" s="9" t="str">
        <x:v>evidence/server-test-json-final-156.json</x:v>
      </x:c>
      <x:c r="U224" s="9" t="str">
        <x:v>Server: server/src/crm/crm-configuration-postgres.integration.spec.ts :: Unified CRM configuration (PostgreSQL) publishes the supported type matrix and syncs existing client forms</x:v>
      </x:c>
    </x:row>
    <x:row r="225">
      <x:c r="A225" s="9" t="str">
        <x:v>CFG-018</x:v>
      </x:c>
      <x:c r="B225" s="9" t="str">
        <x:v>Configuration &amp; Operations</x:v>
      </x:c>
      <x:c r="C225" s="9" t="str">
        <x:v>Lead pipeline</x:v>
      </x:c>
      <x:c r="D225" s="9" t="str">
        <x:v>config editor</x:v>
      </x:c>
      <x:c r="E225" s="9" t="str">
        <x:v>Как config editor, я хочу настроить стадии Lead, чтобы рабочий сценарий был предсказуемым.</x:v>
      </x:c>
      <x:c r="F225" s="9" t="str">
        <x:v>Пользователь вошёл; Settings section/capability разрешены.</x:v>
      </x:c>
      <x:c r="G225" s="9" t="str">
        <x:v>Открыть Settings, выбрать раздел и выполнить read/edit/publish action.</x:v>
      </x:c>
      <x:c r="H225" s="9" t="str">
        <x:v>Stage ids/transitions/order versioned; impact preview protects records using removed stages.</x:v>
      </x:c>
      <x:c r="I225" s="9" t="str">
        <x:v>config.crm.edit</x:v>
      </x:c>
      <x:c r="J225" s="9" t="str">
        <x:v>Windows, Android</x:v>
      </x:c>
      <x:c r="K225" s="9" t="str">
        <x:v>lib/features/admin/presentation/widgets/manage_entities_widget.dart; lib/features/crm/presentation/configuration</x:v>
      </x:c>
      <x:c r="L225" s="9" t="str">
        <x:v>server/src/crm/crm-configuration.controller.ts; crm-facilities.controller.ts; schedule/availability.controller.ts; server/src/access-control</x:v>
      </x:c>
      <x:c r="M225" s="9" t="str">
        <x:v>test/features/admin/*entities*; test/features/crm/*configuration*; server/src/access-control/*.spec.ts; docs/audits/v6-unified-crm-configuration.md</x:v>
      </x:c>
      <x:c r="N225" s="9" t="str">
        <x:v>CODE-BACKED</x:v>
      </x:c>
      <x:c r="O225" s="9" t="str">
        <x:v>PASS</x:v>
      </x:c>
      <x:c r="P225" s="9" t="str">
        <x:v>Post-fix acceptance passed for Lead pipeline: 1 exact named test(s) matched and passed on build 1.2.3+156.</x:v>
      </x:c>
      <x:c r="Q225" s="9" t="str"/>
      <x:c r="R225" s="9" t="str">
        <x:v>P0</x:v>
      </x:c>
      <x:c r="S225" s="9" t="str">
        <x:v>2026-08-06</x:v>
      </x:c>
      <x:c r="T225" s="9" t="str">
        <x:v>evidence/server-test-json-final-156.json</x:v>
      </x:c>
      <x:c r="U225" s="9" t="str">
        <x:v>Server: server/src/crm/student-funnel-postgres.integration.spec.ts :: Student funnel effective configuration (PostgreSQL) configures Lead and Student pipelines through the same version contract</x:v>
      </x:c>
    </x:row>
    <x:row r="226">
      <x:c r="A226" s="9" t="str">
        <x:v>CFG-019</x:v>
      </x:c>
      <x:c r="B226" s="9" t="str">
        <x:v>Configuration &amp; Operations</x:v>
      </x:c>
      <x:c r="C226" s="9" t="str">
        <x:v>Student pipeline</x:v>
      </x:c>
      <x:c r="D226" s="9" t="str">
        <x:v>config editor</x:v>
      </x:c>
      <x:c r="E226" s="9" t="str">
        <x:v>Как config editor, я хочу настроить стадии Student, чтобы рабочий сценарий был предсказуемым.</x:v>
      </x:c>
      <x:c r="F226" s="9" t="str">
        <x:v>Пользователь вошёл; Settings section/capability разрешены.</x:v>
      </x:c>
      <x:c r="G226" s="9" t="str">
        <x:v>Открыть Settings, выбрать раздел и выполнить read/edit/publish action.</x:v>
      </x:c>
      <x:c r="H226" s="9" t="str">
        <x:v>Same revision/publish/rollback semantics as Lead while retaining distinct lifecycle.</x:v>
      </x:c>
      <x:c r="I226" s="9" t="str">
        <x:v>config.crm.edit</x:v>
      </x:c>
      <x:c r="J226" s="9" t="str">
        <x:v>Windows, Android</x:v>
      </x:c>
      <x:c r="K226" s="9" t="str">
        <x:v>lib/features/admin/presentation/widgets/manage_entities_widget.dart; lib/features/crm/presentation/configuration</x:v>
      </x:c>
      <x:c r="L226" s="9" t="str">
        <x:v>server/src/crm/crm-configuration.controller.ts; crm-facilities.controller.ts; schedule/availability.controller.ts; server/src/access-control</x:v>
      </x:c>
      <x:c r="M226" s="9" t="str">
        <x:v>test/features/admin/*entities*; test/features/crm/*configuration*; server/src/access-control/*.spec.ts; docs/audits/v6-unified-crm-configuration.md</x:v>
      </x:c>
      <x:c r="N226" s="9" t="str">
        <x:v>CODE-BACKED</x:v>
      </x:c>
      <x:c r="O226" s="9" t="str">
        <x:v>PASS</x:v>
      </x:c>
      <x:c r="P226" s="9" t="str">
        <x:v>Post-fix acceptance passed for Student pipeline: 1 exact named test(s) matched and passed on build 1.2.3+156.</x:v>
      </x:c>
      <x:c r="Q226" s="9" t="str"/>
      <x:c r="R226" s="9" t="str">
        <x:v>P0</x:v>
      </x:c>
      <x:c r="S226" s="9" t="str">
        <x:v>2026-08-06</x:v>
      </x:c>
      <x:c r="T226" s="9" t="str">
        <x:v>evidence/server-test-json-final-156.json</x:v>
      </x:c>
      <x:c r="U226" s="9" t="str">
        <x:v>Server: server/src/crm/student-funnel-postgres.integration.spec.ts :: Student funnel effective configuration (PostgreSQL) enforces configured transitions and rolls back by publishing a revision</x:v>
      </x:c>
    </x:row>
    <x:row r="227">
      <x:c r="A227" s="9" t="str">
        <x:v>CFG-020</x:v>
      </x:c>
      <x:c r="B227" s="9" t="str">
        <x:v>Configuration &amp; Operations</x:v>
      </x:c>
      <x:c r="C227" s="9" t="str">
        <x:v>Business numbers</x:v>
      </x:c>
      <x:c r="D227" s="9" t="str">
        <x:v>config editor</x:v>
      </x:c>
      <x:c r="E227" s="9" t="str">
        <x:v>Как config editor, я хочу настроить разрешённые числовые параметры, чтобы рабочий сценарий был предсказуемым.</x:v>
      </x:c>
      <x:c r="F227" s="9" t="str">
        <x:v>Пользователь вошёл; Settings section/capability разрешены.</x:v>
      </x:c>
      <x:c r="G227" s="9" t="str">
        <x:v>Открыть Settings, выбрать раздел и выполнить read/edit/publish action.</x:v>
      </x:c>
      <x:c r="H227" s="9" t="str">
        <x:v>Only allowlisted keys/types/ranges accepted; arbitrary system config injection impossible.</x:v>
      </x:c>
      <x:c r="I227" s="9" t="str">
        <x:v>config.crm.edit</x:v>
      </x:c>
      <x:c r="J227" s="9" t="str">
        <x:v>Windows, Android</x:v>
      </x:c>
      <x:c r="K227" s="9" t="str">
        <x:v>lib/features/admin/presentation/widgets/manage_entities_widget.dart; lib/features/crm/presentation/configuration</x:v>
      </x:c>
      <x:c r="L227" s="9" t="str">
        <x:v>server/src/crm/crm-configuration.controller.ts; crm-facilities.controller.ts; schedule/availability.controller.ts; server/src/access-control</x:v>
      </x:c>
      <x:c r="M227" s="9" t="str">
        <x:v>test/features/admin/*entities*; test/features/crm/*configuration*; server/src/access-control/*.spec.ts; docs/audits/v6-unified-crm-configuration.md</x:v>
      </x:c>
      <x:c r="N227" s="9" t="str">
        <x:v>CODE-BACKED</x:v>
      </x:c>
      <x:c r="O227" s="9" t="str">
        <x:v>PASS</x:v>
      </x:c>
      <x:c r="P227" s="9" t="str">
        <x:v>Post-fix acceptance passed for Business numbers: 1 exact named test(s) matched and passed on build 1.2.3+156.</x:v>
      </x:c>
      <x:c r="Q227" s="9" t="str"/>
      <x:c r="R227" s="9" t="str">
        <x:v>P0</x:v>
      </x:c>
      <x:c r="S227" s="9" t="str">
        <x:v>2026-08-06</x:v>
      </x:c>
      <x:c r="T227" s="9" t="str">
        <x:v>evidence/server-test-json-final-156.json</x:v>
      </x:c>
      <x:c r="U227" s="9" t="str">
        <x:v>Server: server/src/crm/crm-configuration-postgres.integration.spec.ts :: Unified CRM configuration (PostgreSQL) publishes the supported type matrix and syncs existing client forms</x:v>
      </x:c>
    </x:row>
    <x:row r="228">
      <x:c r="A228" s="9" t="str">
        <x:v>CFG-021</x:v>
      </x:c>
      <x:c r="B228" s="9" t="str">
        <x:v>Configuration &amp; Operations</x:v>
      </x:c>
      <x:c r="C228" s="9" t="str">
        <x:v>Impact preview</x:v>
      </x:c>
      <x:c r="D228" s="9" t="str">
        <x:v>config editor</x:v>
      </x:c>
      <x:c r="E228" s="9" t="str">
        <x:v>Как config editor, я хочу увидеть последствия publish, чтобы рабочий сценарий был предсказуемым.</x:v>
      </x:c>
      <x:c r="F228" s="9" t="str">
        <x:v>Пользователь вошёл; Settings section/capability разрешены.</x:v>
      </x:c>
      <x:c r="G228" s="9" t="str">
        <x:v>Открыть Settings, выбрать раздел и выполнить read/edit/publish action.</x:v>
      </x:c>
      <x:c r="H228" s="9" t="str">
        <x:v>Preview counts affected forms/records/stages/options and returns version-bound result without mutation.</x:v>
      </x:c>
      <x:c r="I228" s="9" t="str">
        <x:v>config.crm.edit</x:v>
      </x:c>
      <x:c r="J228" s="9" t="str">
        <x:v>Windows, Android</x:v>
      </x:c>
      <x:c r="K228" s="9" t="str">
        <x:v>lib/features/admin/presentation/widgets/manage_entities_widget.dart; lib/features/crm/presentation/configuration</x:v>
      </x:c>
      <x:c r="L228" s="9" t="str">
        <x:v>server/src/crm/crm-configuration.controller.ts; crm-facilities.controller.ts; schedule/availability.controller.ts; server/src/access-control</x:v>
      </x:c>
      <x:c r="M228" s="9" t="str">
        <x:v>test/features/admin/*entities*; test/features/crm/*configuration*; server/src/access-control/*.spec.ts; docs/audits/v6-unified-crm-configuration.md</x:v>
      </x:c>
      <x:c r="N228" s="9" t="str">
        <x:v>CODE-BACKED</x:v>
      </x:c>
      <x:c r="O228" s="9" t="str">
        <x:v>PASS</x:v>
      </x:c>
      <x:c r="P228" s="9" t="str">
        <x:v>Post-fix acceptance passed for Impact preview: 1 exact named test(s) matched and passed on build 1.2.3+156.</x:v>
      </x:c>
      <x:c r="Q228" s="9" t="str"/>
      <x:c r="R228" s="9" t="str">
        <x:v>P0</x:v>
      </x:c>
      <x:c r="S228" s="9" t="str">
        <x:v>2026-08-06</x:v>
      </x:c>
      <x:c r="T228" s="9" t="str">
        <x:v>evidence/flutter-test-machine-final-156.ndjson</x:v>
      </x:c>
      <x:c r="U228" s="9" t="str">
        <x:v>Flutter: test/features/v6/crm_configuration_workspace_test.dart :: director edits a draft and publishes through impact preview</x:v>
      </x:c>
    </x:row>
    <x:row r="229">
      <x:c r="A229" s="9" t="str">
        <x:v>CFG-022</x:v>
      </x:c>
      <x:c r="B229" s="9" t="str">
        <x:v>Configuration &amp; Operations</x:v>
      </x:c>
      <x:c r="C229" s="9" t="str">
        <x:v>Publish config</x:v>
      </x:c>
      <x:c r="D229" s="9" t="str">
        <x:v>config editor</x:v>
      </x:c>
      <x:c r="E229" s="9" t="str">
        <x:v>Как config editor, я хочу опубликовать проверенный draft, чтобы рабочий сценарий был предсказуемым.</x:v>
      </x:c>
      <x:c r="F229" s="9" t="str">
        <x:v>Пользователь вошёл; Settings section/capability разрешены.</x:v>
      </x:c>
      <x:c r="G229" s="9" t="str">
        <x:v>Открыть Settings, выбрать раздел и выполнить read/edit/publish action.</x:v>
      </x:c>
      <x:c r="H229" s="9" t="str">
        <x:v>Expected version + preview + transaction creates immutable revision and invalidates effective caches.</x:v>
      </x:c>
      <x:c r="I229" s="9" t="str">
        <x:v>config.crm.edit</x:v>
      </x:c>
      <x:c r="J229" s="9" t="str">
        <x:v>Windows, Android</x:v>
      </x:c>
      <x:c r="K229" s="9" t="str">
        <x:v>lib/features/admin/presentation/widgets/manage_entities_widget.dart; lib/features/crm/presentation/configuration</x:v>
      </x:c>
      <x:c r="L229" s="9" t="str">
        <x:v>server/src/crm/crm-configuration.controller.ts; crm-facilities.controller.ts; schedule/availability.controller.ts; server/src/access-control</x:v>
      </x:c>
      <x:c r="M229" s="9" t="str">
        <x:v>test/features/admin/*entities*; test/features/crm/*configuration*; server/src/access-control/*.spec.ts; docs/audits/v6-unified-crm-configuration.md</x:v>
      </x:c>
      <x:c r="N229" s="9" t="str">
        <x:v>CODE-BACKED</x:v>
      </x:c>
      <x:c r="O229" s="9" t="str">
        <x:v>PASS</x:v>
      </x:c>
      <x:c r="P229" s="9" t="str">
        <x:v>Post-fix acceptance passed for Publish config: 1 exact named test(s) matched and passed on build 1.2.3+156.</x:v>
      </x:c>
      <x:c r="Q229" s="9" t="str"/>
      <x:c r="R229" s="9" t="str">
        <x:v>P0</x:v>
      </x:c>
      <x:c r="S229" s="9" t="str">
        <x:v>2026-08-06</x:v>
      </x:c>
      <x:c r="T229" s="9" t="str">
        <x:v>evidence/server-test-json-final-156.json</x:v>
      </x:c>
      <x:c r="U229" s="9" t="str">
        <x:v>Server: server/src/crm/crm-configuration-postgres.integration.spec.ts :: Unified CRM configuration (PostgreSQL) rejects the second stale publish and rolls back as a new immutable revision</x:v>
      </x:c>
    </x:row>
    <x:row r="230">
      <x:c r="A230" s="9" t="str">
        <x:v>CFG-023</x:v>
      </x:c>
      <x:c r="B230" s="9" t="str">
        <x:v>Configuration &amp; Operations</x:v>
      </x:c>
      <x:c r="C230" s="9" t="str">
        <x:v>Revision history</x:v>
      </x:c>
      <x:c r="D230" s="9" t="str">
        <x:v>config reader</x:v>
      </x:c>
      <x:c r="E230" s="9" t="str">
        <x:v>Как config reader, я хочу просмотреть версии конфигурации, чтобы рабочий сценарий был предсказуемым.</x:v>
      </x:c>
      <x:c r="F230" s="9" t="str">
        <x:v>Пользователь вошёл; Settings section/capability разрешены.</x:v>
      </x:c>
      <x:c r="G230" s="9" t="str">
        <x:v>Открыть Settings, выбрать раздел и выполнить read/edit/publish action.</x:v>
      </x:c>
      <x:c r="H230" s="9" t="str">
        <x:v>History shows scope/actor/reason/time without mutable rewrite.</x:v>
      </x:c>
      <x:c r="I230" s="9" t="str">
        <x:v>config.crm.read</x:v>
      </x:c>
      <x:c r="J230" s="9" t="str">
        <x:v>Windows, Android</x:v>
      </x:c>
      <x:c r="K230" s="9" t="str">
        <x:v>lib/features/admin/presentation/widgets/manage_entities_widget.dart; lib/features/crm/presentation/configuration</x:v>
      </x:c>
      <x:c r="L230" s="9" t="str">
        <x:v>server/src/crm/crm-configuration.controller.ts; crm-facilities.controller.ts; schedule/availability.controller.ts; server/src/access-control</x:v>
      </x:c>
      <x:c r="M230" s="9" t="str">
        <x:v>test/features/admin/*entities*; test/features/crm/*configuration*; server/src/access-control/*.spec.ts; docs/audits/v6-unified-crm-configuration.md</x:v>
      </x:c>
      <x:c r="N230" s="9" t="str">
        <x:v>CODE-BACKED</x:v>
      </x:c>
      <x:c r="O230" s="9" t="str">
        <x:v>PASS</x:v>
      </x:c>
      <x:c r="P230" s="9" t="str">
        <x:v>Post-fix acceptance passed for Revision history: 1 exact named test(s) matched and passed on build 1.2.3+156.</x:v>
      </x:c>
      <x:c r="Q230" s="9" t="str"/>
      <x:c r="R230" s="9" t="str">
        <x:v>P1</x:v>
      </x:c>
      <x:c r="S230" s="9" t="str">
        <x:v>2026-08-06</x:v>
      </x:c>
      <x:c r="T230" s="9" t="str">
        <x:v>evidence/server-test-json-final-156.json</x:v>
      </x:c>
      <x:c r="U230" s="9" t="str">
        <x:v>Server: server/src/crm/crm-configuration-postgres.integration.spec.ts :: Unified CRM configuration (PostgreSQL) rejects the second stale publish and rolls back as a new immutable revision</x:v>
      </x:c>
    </x:row>
    <x:row r="231">
      <x:c r="A231" s="9" t="str">
        <x:v>CFG-024</x:v>
      </x:c>
      <x:c r="B231" s="9" t="str">
        <x:v>Configuration &amp; Operations</x:v>
      </x:c>
      <x:c r="C231" s="9" t="str">
        <x:v>Rollback config</x:v>
      </x:c>
      <x:c r="D231" s="9" t="str">
        <x:v>config editor</x:v>
      </x:c>
      <x:c r="E231" s="9" t="str">
        <x:v>Как config editor, я хочу вернуться к прошлой версии, чтобы рабочий сценарий был предсказуемым.</x:v>
      </x:c>
      <x:c r="F231" s="9" t="str">
        <x:v>Пользователь вошёл; Settings section/capability разрешены.</x:v>
      </x:c>
      <x:c r="G231" s="9" t="str">
        <x:v>Открыть Settings, выбрать раздел и выполнить read/edit/publish action.</x:v>
      </x:c>
      <x:c r="H231" s="9" t="str">
        <x:v>Rollback creates a new revision from selected snapshot after impact confirmation; history remains linear.</x:v>
      </x:c>
      <x:c r="I231" s="9" t="str">
        <x:v>config.crm.edit</x:v>
      </x:c>
      <x:c r="J231" s="9" t="str">
        <x:v>Windows, Android</x:v>
      </x:c>
      <x:c r="K231" s="9" t="str">
        <x:v>lib/features/admin/presentation/widgets/manage_entities_widget.dart; lib/features/crm/presentation/configuration</x:v>
      </x:c>
      <x:c r="L231" s="9" t="str">
        <x:v>server/src/crm/crm-configuration.controller.ts; crm-facilities.controller.ts; schedule/availability.controller.ts; server/src/access-control</x:v>
      </x:c>
      <x:c r="M231" s="9" t="str">
        <x:v>test/features/admin/*entities*; test/features/crm/*configuration*; server/src/access-control/*.spec.ts; docs/audits/v6-unified-crm-configuration.md</x:v>
      </x:c>
      <x:c r="N231" s="9" t="str">
        <x:v>CODE-BACKED</x:v>
      </x:c>
      <x:c r="O231" s="9" t="str">
        <x:v>PASS</x:v>
      </x:c>
      <x:c r="P231" s="9" t="str">
        <x:v>Post-fix acceptance passed for Rollback config: 1 exact named test(s) matched and passed on build 1.2.3+156.</x:v>
      </x:c>
      <x:c r="Q231" s="9" t="str"/>
      <x:c r="R231" s="9" t="str">
        <x:v>P0</x:v>
      </x:c>
      <x:c r="S231" s="9" t="str">
        <x:v>2026-08-06</x:v>
      </x:c>
      <x:c r="T231" s="9" t="str">
        <x:v>evidence/server-test-json-final-156.json</x:v>
      </x:c>
      <x:c r="U231" s="9" t="str">
        <x:v>Server: server/src/crm/crm-configuration-postgres.integration.spec.ts :: Unified CRM configuration (PostgreSQL) rejects the second stale publish and rolls back as a new immutable revision</x:v>
      </x:c>
    </x:row>
    <x:row r="232">
      <x:c r="A232" s="9" t="str">
        <x:v>CFG-025</x:v>
      </x:c>
      <x:c r="B232" s="9" t="str">
        <x:v>Configuration &amp; Operations</x:v>
      </x:c>
      <x:c r="C232" s="9" t="str">
        <x:v>Employees</x:v>
      </x:c>
      <x:c r="D232" s="9" t="str">
        <x:v>разрешённый admin actor</x:v>
      </x:c>
      <x:c r="E232" s="9" t="str">
        <x:v>Как разрешённый admin actor, я хочу просмотреть/создать/изменить сотрудников, чтобы рабочий сценарий был предсказуемым.</x:v>
      </x:c>
      <x:c r="F232" s="9" t="str">
        <x:v>Пользователь вошёл; Settings section/capability разрешены.</x:v>
      </x:c>
      <x:c r="G232" s="9" t="str">
        <x:v>Открыть Settings, выбрать раздел и выполнить read/edit/publish action.</x:v>
      </x:c>
      <x:c r="H232" s="9" t="str">
        <x:v>List and forms are role/scope projected; private/system accounts hidden from business lists.</x:v>
      </x:c>
      <x:c r="I232" s="9" t="str">
        <x:v>people manage</x:v>
      </x:c>
      <x:c r="J232" s="9" t="str">
        <x:v>Windows, Android</x:v>
      </x:c>
      <x:c r="K232" s="9" t="str">
        <x:v>lib/features/admin/presentation/widgets/manage_entities_widget.dart; lib/features/crm/presentation/configuration</x:v>
      </x:c>
      <x:c r="L232" s="9" t="str">
        <x:v>server/src/crm/crm-configuration.controller.ts; crm-facilities.controller.ts; schedule/availability.controller.ts; server/src/access-control</x:v>
      </x:c>
      <x:c r="M232" s="9" t="str">
        <x:v>test/features/admin/*entities*; test/features/crm/*configuration*; server/src/access-control/*.spec.ts; docs/audits/v6-unified-crm-configuration.md</x:v>
      </x:c>
      <x:c r="N232" s="9" t="str">
        <x:v>CODE-BACKED</x:v>
      </x:c>
      <x:c r="O232" s="9" t="str">
        <x:v>RETEST PASS</x:v>
      </x:c>
      <x:c r="P232" s="9" t="str">
        <x:v>Release 156 renders `Работает` and hides synthetic migration email for an unlinked employee even while connected to the older remote backend.</x:v>
      </x:c>
      <x:c r="Q232" s="9" t="str">
        <x:v>ERR-009</x:v>
      </x:c>
      <x:c r="R232" s="9" t="str">
        <x:v>P0</x:v>
      </x:c>
      <x:c r="S232" s="9" t="str">
        <x:v>2026-08-06</x:v>
      </x:c>
      <x:c r="T232" s="9" t="str">
        <x:v>evidence/postfix-settings-staff-release156.txt</x:v>
      </x:c>
      <x:c r="U232" s="9" t="str">
        <x:v>Backend projection is fixed too; client guard keeps mixed-version rollout clean.</x:v>
      </x:c>
    </x:row>
    <x:row r="233">
      <x:c r="A233" s="9" t="str">
        <x:v>CFG-026</x:v>
      </x:c>
      <x:c r="B233" s="9" t="str">
        <x:v>Configuration &amp; Operations</x:v>
      </x:c>
      <x:c r="C233" s="9" t="str">
        <x:v>Teachers</x:v>
      </x:c>
      <x:c r="D233" s="9" t="str">
        <x:v>разрешённый admin actor</x:v>
      </x:c>
      <x:c r="E233" s="9" t="str">
        <x:v>Как разрешённый admin actor, я хочу просмотреть/создать/изменить Teacher, чтобы рабочий сценарий был предсказуемым.</x:v>
      </x:c>
      <x:c r="F233" s="9" t="str">
        <x:v>Пользователь вошёл; Settings section/capability разрешены.</x:v>
      </x:c>
      <x:c r="G233" s="9" t="str">
        <x:v>Открыть Settings, выбрать раздел и выполнить read/edit/publish action.</x:v>
      </x:c>
      <x:c r="H233" s="9" t="str">
        <x:v>Branch assignments and profile data validate; teacher payroll/availability links use canonical profile.</x:v>
      </x:c>
      <x:c r="I233" s="9" t="str">
        <x:v>people manage</x:v>
      </x:c>
      <x:c r="J233" s="9" t="str">
        <x:v>Windows, Android</x:v>
      </x:c>
      <x:c r="K233" s="9" t="str">
        <x:v>lib/features/admin/presentation/widgets/manage_entities_widget.dart; lib/features/crm/presentation/configuration</x:v>
      </x:c>
      <x:c r="L233" s="9" t="str">
        <x:v>server/src/crm/crm-configuration.controller.ts; crm-facilities.controller.ts; schedule/availability.controller.ts; server/src/access-control</x:v>
      </x:c>
      <x:c r="M233" s="9" t="str">
        <x:v>test/features/admin/*entities*; test/features/crm/*configuration*; server/src/access-control/*.spec.ts; docs/audits/v6-unified-crm-configuration.md</x:v>
      </x:c>
      <x:c r="N233" s="9" t="str">
        <x:v>CODE-BACKED</x:v>
      </x:c>
      <x:c r="O233" s="9" t="str">
        <x:v>PASS</x:v>
      </x:c>
      <x:c r="P233" s="9" t="str">
        <x:v>Post-fix acceptance passed for Teachers: 1 exact named test(s) matched and passed on build 1.2.3+156.</x:v>
      </x:c>
      <x:c r="Q233" s="9" t="str"/>
      <x:c r="R233" s="9" t="str">
        <x:v>P0</x:v>
      </x:c>
      <x:c r="S233" s="9" t="str">
        <x:v>2026-08-06</x:v>
      </x:c>
      <x:c r="T233" s="9" t="str">
        <x:v>evidence/flutter-test-machine-final-156.ndjson</x:v>
      </x:c>
      <x:c r="U233" s="9" t="str">
        <x:v>Flutter: test/features/v6/system_settings_workspace_test.dart :: director creates teacher from the mounted users workspace</x:v>
      </x:c>
    </x:row>
    <x:row r="234">
      <x:c r="A234" s="9" t="str">
        <x:v>CFG-027</x:v>
      </x:c>
      <x:c r="B234" s="9" t="str">
        <x:v>Configuration &amp; Operations</x:v>
      </x:c>
      <x:c r="C234" s="9" t="str">
        <x:v>Assign role</x:v>
      </x:c>
      <x:c r="D234" s="9" t="str">
        <x:v>директор/system admin</x:v>
      </x:c>
      <x:c r="E234" s="9" t="str">
        <x:v>Как директор/system admin, я хочу назначить допустимую роль, чтобы рабочий сценарий был предсказуемым.</x:v>
      </x:c>
      <x:c r="F234" s="9" t="str">
        <x:v>Пользователь вошёл; Settings section/capability разрешены.</x:v>
      </x:c>
      <x:c r="G234" s="9" t="str">
        <x:v>Открыть Settings, выбрать раздел и выполнить read/edit/publish action.</x:v>
      </x:c>
      <x:c r="H234" s="9" t="str">
        <x:v>Director can assign strictly lower roles including Manager; Manager/Admin cannot assign Director/root; last root protected.</x:v>
      </x:c>
      <x:c r="I234" s="9" t="str">
        <x:v>access manage</x:v>
      </x:c>
      <x:c r="J234" s="9" t="str">
        <x:v>Windows, Android</x:v>
      </x:c>
      <x:c r="K234" s="9" t="str">
        <x:v>lib/features/admin/presentation/widgets/manage_entities_widget.dart; lib/features/crm/presentation/configuration</x:v>
      </x:c>
      <x:c r="L234" s="9" t="str">
        <x:v>server/src/crm/crm-configuration.controller.ts; crm-facilities.controller.ts; schedule/availability.controller.ts; server/src/access-control</x:v>
      </x:c>
      <x:c r="M234" s="9" t="str">
        <x:v>test/features/admin/*entities*; test/features/crm/*configuration*; server/src/access-control/*.spec.ts; docs/audits/v6-unified-crm-configuration.md</x:v>
      </x:c>
      <x:c r="N234" s="9" t="str">
        <x:v>CODE-BACKED</x:v>
      </x:c>
      <x:c r="O234" s="9" t="str">
        <x:v>PASS</x:v>
      </x:c>
      <x:c r="P234" s="9" t="str">
        <x:v>Post-fix acceptance passed for Assign role: 1 exact named test(s) matched and passed on build 1.2.3+156.</x:v>
      </x:c>
      <x:c r="Q234" s="9" t="str"/>
      <x:c r="R234" s="9" t="str">
        <x:v>P0</x:v>
      </x:c>
      <x:c r="S234" s="9" t="str">
        <x:v>2026-08-06</x:v>
      </x:c>
      <x:c r="T234" s="9" t="str">
        <x:v>evidence/server-test-json-final-156.json</x:v>
      </x:c>
      <x:c r="U234" s="9" t="str">
        <x:v>Server: server/src/profile/profile.policy.spec.ts :: ProfilePolicy assertCanUpdateRole — иерархия ролей (manager &gt; admin) director may assign roles strictly below director (incl. manager)</x:v>
      </x:c>
    </x:row>
    <x:row r="235">
      <x:c r="A235" s="9" t="str">
        <x:v>CFG-028</x:v>
      </x:c>
      <x:c r="B235" s="9" t="str">
        <x:v>Configuration &amp; Operations</x:v>
      </x:c>
      <x:c r="C235" s="9" t="str">
        <x:v>Role packages</x:v>
      </x:c>
      <x:c r="D235" s="9" t="str">
        <x:v>system admin/authorized director</x:v>
      </x:c>
      <x:c r="E235" s="9" t="str">
        <x:v>Как system admin/authorized director, я хочу просмотреть или изменить пакет capabilities, чтобы рабочий сценарий был предсказуемым.</x:v>
      </x:c>
      <x:c r="F235" s="9" t="str">
        <x:v>Пользователь вошёл; Settings section/capability разрешены.</x:v>
      </x:c>
      <x:c r="G235" s="9" t="str">
        <x:v>Открыть Settings, выбрать раздел и выполнить read/edit/publish action.</x:v>
      </x:c>
      <x:c r="H235" s="9" t="str">
        <x:v>Known keys only, expected version/idempotency/audit; hard invariants cannot be overridden.</x:v>
      </x:c>
      <x:c r="I235" s="9" t="str">
        <x:v>access manage</x:v>
      </x:c>
      <x:c r="J235" s="9" t="str">
        <x:v>Windows, Android</x:v>
      </x:c>
      <x:c r="K235" s="9" t="str">
        <x:v>lib/features/admin/presentation/widgets/manage_entities_widget.dart; lib/features/crm/presentation/configuration</x:v>
      </x:c>
      <x:c r="L235" s="9" t="str">
        <x:v>server/src/crm/crm-configuration.controller.ts; crm-facilities.controller.ts; schedule/availability.controller.ts; server/src/access-control</x:v>
      </x:c>
      <x:c r="M235" s="9" t="str">
        <x:v>test/features/admin/*entities*; test/features/crm/*configuration*; server/src/access-control/*.spec.ts; docs/audits/v6-unified-crm-configuration.md</x:v>
      </x:c>
      <x:c r="N235" s="9" t="str">
        <x:v>CODE-BACKED</x:v>
      </x:c>
      <x:c r="O235" s="9" t="str">
        <x:v>PASS</x:v>
      </x:c>
      <x:c r="P235" s="9" t="str">
        <x:v>Post-fix acceptance passed for Role packages: 1 exact named test(s) matched and passed on build 1.2.3+156.</x:v>
      </x:c>
      <x:c r="Q235" s="9" t="str"/>
      <x:c r="R235" s="9" t="str">
        <x:v>P0</x:v>
      </x:c>
      <x:c r="S235" s="9" t="str">
        <x:v>2026-08-06</x:v>
      </x:c>
      <x:c r="T235" s="9" t="str">
        <x:v>evidence/server-test-json-final-156.json</x:v>
      </x:c>
      <x:c r="U235" s="9" t="str">
        <x:v>Server: server/src/access-control/capability-request-authorizer.spec.ts :: CapabilityRequestAuthorizer allows the current database role package and returns the route scope</x:v>
      </x:c>
    </x:row>
    <x:row r="236">
      <x:c r="A236" s="9" t="str">
        <x:v>CFG-029</x:v>
      </x:c>
      <x:c r="B236" s="9" t="str">
        <x:v>Configuration &amp; Operations</x:v>
      </x:c>
      <x:c r="C236" s="9" t="str">
        <x:v>User capability override</x:v>
      </x:c>
      <x:c r="D236" s="9" t="str">
        <x:v>authorized access admin</x:v>
      </x:c>
      <x:c r="E236" s="9" t="str">
        <x:v>Как authorized access admin, я хочу задать явное allow/deny, чтобы рабочий сценарий был предсказуемым.</x:v>
      </x:c>
      <x:c r="F236" s="9" t="str">
        <x:v>Пользователь вошёл; Settings section/capability разрешены.</x:v>
      </x:c>
      <x:c r="G236" s="9" t="str">
        <x:v>Открыть Settings, выбрать раздел и выполнить read/edit/publish action.</x:v>
      </x:c>
      <x:c r="H236" s="9" t="str">
        <x:v>Override is scoped/versioned/audited and cannot lift hard deny or exceed resource scope.</x:v>
      </x:c>
      <x:c r="I236" s="9" t="str">
        <x:v>access manage</x:v>
      </x:c>
      <x:c r="J236" s="9" t="str">
        <x:v>Windows, Android</x:v>
      </x:c>
      <x:c r="K236" s="9" t="str">
        <x:v>lib/features/admin/presentation/widgets/manage_entities_widget.dart; lib/features/crm/presentation/configuration</x:v>
      </x:c>
      <x:c r="L236" s="9" t="str">
        <x:v>server/src/crm/crm-configuration.controller.ts; crm-facilities.controller.ts; schedule/availability.controller.ts; server/src/access-control</x:v>
      </x:c>
      <x:c r="M236" s="9" t="str">
        <x:v>test/features/admin/*entities*; test/features/crm/*configuration*; server/src/access-control/*.spec.ts; docs/audits/v6-unified-crm-configuration.md</x:v>
      </x:c>
      <x:c r="N236" s="9" t="str">
        <x:v>CODE-BACKED</x:v>
      </x:c>
      <x:c r="O236" s="9" t="str">
        <x:v>PASS</x:v>
      </x:c>
      <x:c r="P236" s="9" t="str">
        <x:v>Post-fix acceptance passed for User capability override: 1 exact named test(s) matched and passed on build 1.2.3+156.</x:v>
      </x:c>
      <x:c r="Q236" s="9" t="str"/>
      <x:c r="R236" s="9" t="str">
        <x:v>P0</x:v>
      </x:c>
      <x:c r="S236" s="9" t="str">
        <x:v>2026-08-06</x:v>
      </x:c>
      <x:c r="T236" s="9" t="str">
        <x:v>evidence/server-test-json-final-156.json</x:v>
      </x:c>
      <x:c r="U236" s="9" t="str">
        <x:v>Server: server/src/access-control/effective-access-evaluator.spec.ts :: EffectiveAccessEvaluator enforces override modes and resource scope after package/override</x:v>
      </x:c>
    </x:row>
    <x:row r="237">
      <x:c r="A237" s="9" t="str">
        <x:v>CFG-030</x:v>
      </x:c>
      <x:c r="B237" s="9" t="str">
        <x:v>Configuration &amp; Operations</x:v>
      </x:c>
      <x:c r="C237" s="9" t="str">
        <x:v>Delegated Manager editing</x:v>
      </x:c>
      <x:c r="D237" s="9" t="str">
        <x:v>директор</x:v>
      </x:c>
      <x:c r="E237" s="9" t="str">
        <x:v>Как директор, я хочу выдать/отозвать branch config editing, чтобы рабочий сценарий был предсказуемым.</x:v>
      </x:c>
      <x:c r="F237" s="9" t="str">
        <x:v>Пользователь вошёл; Settings section/capability разрешены.</x:v>
      </x:c>
      <x:c r="G237" s="9" t="str">
        <x:v>Открыть Settings, выбрать раздел и выполнить read/edit/publish action.</x:v>
      </x:c>
      <x:c r="H237" s="9" t="str">
        <x:v>Grant audited and limited to assigned Branch organization/schedule; school-wide/config delegation remains denied.</x:v>
      </x:c>
      <x:c r="I237" s="9" t="str">
        <x:v>director delegation</x:v>
      </x:c>
      <x:c r="J237" s="9" t="str">
        <x:v>Windows, Android</x:v>
      </x:c>
      <x:c r="K237" s="9" t="str">
        <x:v>lib/features/admin/presentation/widgets/manage_entities_widget.dart; lib/features/crm/presentation/configuration</x:v>
      </x:c>
      <x:c r="L237" s="9" t="str">
        <x:v>server/src/crm/crm-configuration.controller.ts; crm-facilities.controller.ts; schedule/availability.controller.ts; server/src/access-control</x:v>
      </x:c>
      <x:c r="M237" s="9" t="str">
        <x:v>test/features/admin/*entities*; test/features/crm/*configuration*; server/src/access-control/*.spec.ts; docs/audits/v6-unified-crm-configuration.md</x:v>
      </x:c>
      <x:c r="N237" s="9" t="str">
        <x:v>CODE-BACKED</x:v>
      </x:c>
      <x:c r="O237" s="9" t="str">
        <x:v>PASS</x:v>
      </x:c>
      <x:c r="P237" s="9" t="str">
        <x:v>Post-fix acceptance passed for Delegated Manager editing: 1 exact named test(s) matched and passed on build 1.2.3+156.</x:v>
      </x:c>
      <x:c r="Q237" s="9" t="str"/>
      <x:c r="R237" s="9" t="str">
        <x:v>P0</x:v>
      </x:c>
      <x:c r="S237" s="9" t="str">
        <x:v>2026-08-06</x:v>
      </x:c>
      <x:c r="T237" s="9" t="str">
        <x:v>evidence/server-test-json-final-156.json</x:v>
      </x:c>
      <x:c r="U237" s="9" t="str">
        <x:v>Server: server/src/crm/crm-configuration-postgres.integration.spec.ts :: Unified CRM configuration (PostgreSQL) keeps branch overrides sparse and manager scope branch-only</x:v>
      </x:c>
    </x:row>
    <x:row r="238">
      <x:c r="A238" s="9" t="str">
        <x:v>CFG-031</x:v>
      </x:c>
      <x:c r="B238" s="9" t="str">
        <x:v>Configuration &amp; Operations</x:v>
      </x:c>
      <x:c r="C238" s="9" t="str">
        <x:v>Data quality maintenance</x:v>
      </x:c>
      <x:c r="D238" s="9" t="str">
        <x:v>директор/system admin</x:v>
      </x:c>
      <x:c r="E238" s="9" t="str">
        <x:v>Как директор/system admin, я хочу обработать проблемы данных, чтобы рабочий сценарий был предсказуемым.</x:v>
      </x:c>
      <x:c r="F238" s="9" t="str">
        <x:v>Пользователь вошёл; Settings section/capability разрешены.</x:v>
      </x:c>
      <x:c r="G238" s="9" t="str">
        <x:v>Открыть Settings, выбрать раздел и выполнить read/edit/publish action.</x:v>
      </x:c>
      <x:c r="H238" s="9" t="str">
        <x:v>Actionable queues explain impact; maintenance mutations are explicit, scoped and audited.</x:v>
      </x:c>
      <x:c r="I238" s="9" t="str">
        <x:v>maintenance capability</x:v>
      </x:c>
      <x:c r="J238" s="9" t="str">
        <x:v>Windows, Android</x:v>
      </x:c>
      <x:c r="K238" s="9" t="str">
        <x:v>lib/features/admin/presentation/widgets/manage_entities_widget.dart; lib/features/crm/presentation/configuration</x:v>
      </x:c>
      <x:c r="L238" s="9" t="str">
        <x:v>server/src/crm/crm-configuration.controller.ts; crm-facilities.controller.ts; schedule/availability.controller.ts; server/src/access-control</x:v>
      </x:c>
      <x:c r="M238" s="9" t="str">
        <x:v>test/features/admin/*entities*; test/features/crm/*configuration*; server/src/access-control/*.spec.ts; docs/audits/v6-unified-crm-configuration.md</x:v>
      </x:c>
      <x:c r="N238" s="9" t="str">
        <x:v>CODE-BACKED</x:v>
      </x:c>
      <x:c r="O238" s="9" t="str">
        <x:v>PASS</x:v>
      </x:c>
      <x:c r="P238" s="9" t="str">
        <x:v>Post-fix acceptance passed for Data quality maintenance: 1 exact named test(s) matched and passed on build 1.2.3+156.</x:v>
      </x:c>
      <x:c r="Q238" s="9" t="str"/>
      <x:c r="R238" s="9" t="str">
        <x:v>P1</x:v>
      </x:c>
      <x:c r="S238" s="9" t="str">
        <x:v>2026-08-06</x:v>
      </x:c>
      <x:c r="T238" s="9" t="str">
        <x:v>evidence/server-test-json-final-156.json</x:v>
      </x:c>
      <x:c r="U238" s="9" t="str">
        <x:v>Server: server/src/crm/phone-review.service.spec.ts :: PhoneReviewService lists open phone-review-queue rows</x:v>
      </x:c>
    </x:row>
    <x:row r="239">
      <x:c r="A239" s="9" t="str">
        <x:v>CFG-032</x:v>
      </x:c>
      <x:c r="B239" s="9" t="str">
        <x:v>Configuration &amp; Operations</x:v>
      </x:c>
      <x:c r="C239" s="9" t="str">
        <x:v>Deletion requests</x:v>
      </x:c>
      <x:c r="D239" s="9" t="str">
        <x:v>директор/system admin</x:v>
      </x:c>
      <x:c r="E239" s="9" t="str">
        <x:v>Как директор/system admin, я хочу обработать заявки на удаление account, чтобы рабочий сценарий был предсказуемым.</x:v>
      </x:c>
      <x:c r="F239" s="9" t="str">
        <x:v>Пользователь вошёл; Settings section/capability разрешены.</x:v>
      </x:c>
      <x:c r="G239" s="9" t="str">
        <x:v>Открыть Settings, выбрать раздел и выполнить read/edit/publish action.</x:v>
      </x:c>
      <x:c r="H239" s="9" t="str">
        <x:v>Pending requests show identity/reason/status; decision follows retention/integrity policy.</x:v>
      </x:c>
      <x:c r="I239" s="9" t="str">
        <x:v>account deletion admin</x:v>
      </x:c>
      <x:c r="J239" s="9" t="str">
        <x:v>Windows, Android</x:v>
      </x:c>
      <x:c r="K239" s="9" t="str">
        <x:v>lib/features/admin/presentation/widgets/manage_entities_widget.dart; lib/features/crm/presentation/configuration</x:v>
      </x:c>
      <x:c r="L239" s="9" t="str">
        <x:v>server/src/crm/crm-configuration.controller.ts; crm-facilities.controller.ts; schedule/availability.controller.ts; server/src/access-control</x:v>
      </x:c>
      <x:c r="M239" s="9" t="str">
        <x:v>test/features/admin/*entities*; test/features/crm/*configuration*; server/src/access-control/*.spec.ts; docs/audits/v6-unified-crm-configuration.md</x:v>
      </x:c>
      <x:c r="N239" s="9" t="str">
        <x:v>CODE-BACKED</x:v>
      </x:c>
      <x:c r="O239" s="9" t="str">
        <x:v>PASS</x:v>
      </x:c>
      <x:c r="P239" s="9" t="str">
        <x:v>Post-fix acceptance passed for Deletion requests: 1 exact named test(s) matched and passed on build 1.2.3+156.</x:v>
      </x:c>
      <x:c r="Q239" s="9" t="str"/>
      <x:c r="R239" s="9" t="str">
        <x:v>P0</x:v>
      </x:c>
      <x:c r="S239" s="9" t="str">
        <x:v>2026-08-06</x:v>
      </x:c>
      <x:c r="T239" s="9" t="str">
        <x:v>evidence/server-test-json-final-156.json</x:v>
      </x:c>
      <x:c r="U239" s="9" t="str">
        <x:v>Server: server/src/legal/legal.policy.spec.ts :: LegalPolicy enforces deletion lifecycle transitions</x:v>
      </x:c>
    </x:row>
    <x:row r="240">
      <x:c r="A240" s="9" t="str">
        <x:v>CFG-033</x:v>
      </x:c>
      <x:c r="B240" s="9" t="str">
        <x:v>Configuration &amp; Operations</x:v>
      </x:c>
      <x:c r="C240" s="9" t="str">
        <x:v>Admin chat avatar</x:v>
      </x:c>
      <x:c r="D240" s="9" t="str">
        <x:v>authorized settings actor</x:v>
      </x:c>
      <x:c r="E240" s="9" t="str">
        <x:v>Как authorized settings actor, я хочу изменить avatar системного чата, чтобы рабочий сценарий был предсказуемым.</x:v>
      </x:c>
      <x:c r="F240" s="9" t="str">
        <x:v>Пользователь вошёл; Settings section/capability разрешены.</x:v>
      </x:c>
      <x:c r="G240" s="9" t="str">
        <x:v>Открыть Settings, выбрать раздел и выполнить read/edit/publish action.</x:v>
      </x:c>
      <x:c r="H240" s="9" t="str">
        <x:v>Upload URL validates and updates shared setting; removal clears it without deleting unrelated files.</x:v>
      </x:c>
      <x:c r="I240" s="9" t="str">
        <x:v>settings manage</x:v>
      </x:c>
      <x:c r="J240" s="9" t="str">
        <x:v>Windows, Android</x:v>
      </x:c>
      <x:c r="K240" s="9" t="str">
        <x:v>lib/features/admin/presentation/widgets/manage_entities_widget.dart; lib/features/crm/presentation/configuration</x:v>
      </x:c>
      <x:c r="L240" s="9" t="str">
        <x:v>server/src/crm/crm-configuration.controller.ts; crm-facilities.controller.ts; schedule/availability.controller.ts; server/src/access-control</x:v>
      </x:c>
      <x:c r="M240" s="9" t="str">
        <x:v>test/features/admin/*entities*; test/features/crm/*configuration*; server/src/access-control/*.spec.ts; docs/audits/v6-unified-crm-configuration.md</x:v>
      </x:c>
      <x:c r="N240" s="9" t="str">
        <x:v>CODE-BACKED</x:v>
      </x:c>
      <x:c r="O240" s="9" t="str">
        <x:v>PASS</x:v>
      </x:c>
      <x:c r="P240" s="9" t="str">
        <x:v>Post-fix acceptance passed for Admin chat avatar: 1 exact named test(s) matched and passed on build 1.2.3+156.</x:v>
      </x:c>
      <x:c r="Q240" s="9" t="str"/>
      <x:c r="R240" s="9" t="str">
        <x:v>P2</x:v>
      </x:c>
      <x:c r="S240" s="9" t="str">
        <x:v>2026-08-06</x:v>
      </x:c>
      <x:c r="T240" s="9" t="str">
        <x:v>evidence/server-test-json-final-156.json</x:v>
      </x:c>
      <x:c r="U240" s="9" t="str">
        <x:v>Server: server/src/settings/settings.service.spec.ts :: SettingsService updates admin chat avatar only for admins and records audit</x:v>
      </x:c>
    </x:row>
    <x:row r="241">
      <x:c r="A241" s="9" t="str">
        <x:v>PLT-001</x:v>
      </x:c>
      <x:c r="B241" s="9" t="str">
        <x:v>Platform Quality</x:v>
      </x:c>
      <x:c r="C241" s="9" t="str">
        <x:v>API health warmup</x:v>
      </x:c>
      <x:c r="D241" s="9" t="str">
        <x:v>пользователь</x:v>
      </x:c>
      <x:c r="E241" s="9" t="str">
        <x:v>Как пользователь, я хочу запустить приложение при холодном или недоступном backend, чтобы рабочий сценарий был предсказуемым.</x:v>
      </x:c>
      <x:c r="F241" s="9" t="str">
        <x:v>Приложение/сервер запущены в соответствующей среде.</x:v>
      </x:c>
      <x:c r="G241" s="9" t="str">
        <x:v>Выполнить lifecycle/network/device/platform action.</x:v>
      </x:c>
      <x:c r="H241" s="9" t="str">
        <x:v>Best-effort /health warmup выполняется fire-and-forget; его ошибка не блокирует первый кадр, а защищённые mutations по-прежнему требуют обычную session/policy.</x:v>
      </x:c>
      <x:c r="I241" s="9" t="str">
        <x:v>public health</x:v>
      </x:c>
      <x:c r="J241" s="9" t="str">
        <x:v>Windows, Android, Server</x:v>
      </x:c>
      <x:c r="K241" s="9" t="str">
        <x:v>lib/main.dart; lib/core/services; lib/core/update</x:v>
      </x:c>
      <x:c r="L241" s="9" t="str">
        <x:v>server/src/main.ts; server/src/health; server/src/realtime; server/src/files; server/src/notifications</x:v>
      </x:c>
      <x:c r="M241" s="9" t="str">
        <x:v>test/core; integration_test; server/src/**/*.spec.ts; docs/audits/v6-role-workspace-acceptance.md</x:v>
      </x:c>
      <x:c r="N241" s="9" t="str">
        <x:v>CODE-BACKED</x:v>
      </x:c>
      <x:c r="O241" s="9" t="str">
        <x:v>PASS</x:v>
      </x:c>
      <x:c r="P241" s="9" t="str">
        <x:v>Post-fix acceptance passed for API health warmup: 1 exact named test(s) matched and passed on build 1.2.3+156.</x:v>
      </x:c>
      <x:c r="Q241" s="9" t="str"/>
      <x:c r="R241" s="9" t="str">
        <x:v>P0</x:v>
      </x:c>
      <x:c r="S241" s="9" t="str">
        <x:v>2026-08-06</x:v>
      </x:c>
      <x:c r="T241" s="9" t="str">
        <x:v>evidence/flutter-test-machine-final-156.ndjson</x:v>
      </x:c>
      <x:c r="U241" s="9" t="str">
        <x:v>Flutter: test/startup_warmup_test.dart :: API warmup failure never blocks application startup</x:v>
      </x:c>
    </x:row>
    <x:row r="242">
      <x:c r="A242" s="9" t="str">
        <x:v>PLT-002</x:v>
      </x:c>
      <x:c r="B242" s="9" t="str">
        <x:v>Platform Quality</x:v>
      </x:c>
      <x:c r="C242" s="9" t="str">
        <x:v>Strict server validation</x:v>
      </x:c>
      <x:c r="D242" s="9" t="str">
        <x:v>system</x:v>
      </x:c>
      <x:c r="E242" s="9" t="str">
        <x:v>Как system, я хочу отклонять неизвестные/невалидные поля, чтобы рабочий сценарий был предсказуемым.</x:v>
      </x:c>
      <x:c r="F242" s="9" t="str">
        <x:v>Приложение/сервер запущены в соответствующей среде.</x:v>
      </x:c>
      <x:c r="G242" s="9" t="str">
        <x:v>Выполнить lifecycle/network/device/platform action.</x:v>
      </x:c>
      <x:c r="H242" s="9" t="str">
        <x:v>Global pipe whitelist+forbid+transform returns actor-safe structured error and no partial write.</x:v>
      </x:c>
      <x:c r="I242" s="9" t="str">
        <x:v>trust boundary</x:v>
      </x:c>
      <x:c r="J242" s="9" t="str">
        <x:v>Windows, Android, Server</x:v>
      </x:c>
      <x:c r="K242" s="9" t="str">
        <x:v>lib/main.dart; lib/core/services; lib/core/update</x:v>
      </x:c>
      <x:c r="L242" s="9" t="str">
        <x:v>server/src/main.ts; server/src/health; server/src/realtime; server/src/files; server/src/notifications</x:v>
      </x:c>
      <x:c r="M242" s="9" t="str">
        <x:v>test/core; integration_test; server/src/**/*.spec.ts; docs/audits/v6-role-workspace-acceptance.md</x:v>
      </x:c>
      <x:c r="N242" s="9" t="str">
        <x:v>CODE-BACKED</x:v>
      </x:c>
      <x:c r="O242" s="9" t="str">
        <x:v>PASS</x:v>
      </x:c>
      <x:c r="P242" s="9" t="str">
        <x:v>Post-fix acceptance passed for Strict server validation: 1 exact named test(s) matched and passed on build 1.2.3+156.</x:v>
      </x:c>
      <x:c r="Q242" s="9" t="str"/>
      <x:c r="R242" s="9" t="str">
        <x:v>P0</x:v>
      </x:c>
      <x:c r="S242" s="9" t="str">
        <x:v>2026-08-06</x:v>
      </x:c>
      <x:c r="T242" s="9" t="str">
        <x:v>evidence/flutter-test-machine-final-156.ndjson</x:v>
      </x:c>
      <x:c r="U242" s="9" t="str">
        <x:v>Flutter: test/core/api/magic_api_client_test.dart :: MagicApiClient maps backend validation errors to typed exception</x:v>
      </x:c>
    </x:row>
    <x:row r="243">
      <x:c r="A243" s="9" t="str">
        <x:v>PLT-003</x:v>
      </x:c>
      <x:c r="B243" s="9" t="str">
        <x:v>Platform Quality</x:v>
      </x:c>
      <x:c r="C243" s="9" t="str">
        <x:v>Safe logging</x:v>
      </x:c>
      <x:c r="D243" s="9" t="str">
        <x:v>system</x:v>
      </x:c>
      <x:c r="E243" s="9" t="str">
        <x:v>Как system, я хочу не записывать секретные данные, чтобы рабочий сценарий был предсказуемым.</x:v>
      </x:c>
      <x:c r="F243" s="9" t="str">
        <x:v>Приложение/сервер запущены в соответствующей среде.</x:v>
      </x:c>
      <x:c r="G243" s="9" t="str">
        <x:v>Выполнить lifecycle/network/device/platform action.</x:v>
      </x:c>
      <x:c r="H243" s="9" t="str">
        <x:v>Tokens, finance/subscription/debt/private comment/contact fields masked; errors remain diagnosable.</x:v>
      </x:c>
      <x:c r="I243" s="9" t="str">
        <x:v>security</x:v>
      </x:c>
      <x:c r="J243" s="9" t="str">
        <x:v>Windows, Android, Server</x:v>
      </x:c>
      <x:c r="K243" s="9" t="str">
        <x:v>lib/main.dart; lib/core/services; lib/core/update</x:v>
      </x:c>
      <x:c r="L243" s="9" t="str">
        <x:v>server/src/main.ts; server/src/health; server/src/realtime; server/src/files; server/src/notifications</x:v>
      </x:c>
      <x:c r="M243" s="9" t="str">
        <x:v>test/core; integration_test; server/src/**/*.spec.ts; docs/audits/v6-role-workspace-acceptance.md</x:v>
      </x:c>
      <x:c r="N243" s="9" t="str">
        <x:v>CODE-BACKED</x:v>
      </x:c>
      <x:c r="O243" s="9" t="str">
        <x:v>PASS</x:v>
      </x:c>
      <x:c r="P243" s="9" t="str">
        <x:v>Post-fix acceptance passed for Safe logging: 2 exact named test(s) matched and passed on build 1.2.3+156.</x:v>
      </x:c>
      <x:c r="Q243" s="9" t="str"/>
      <x:c r="R243" s="9" t="str">
        <x:v>P0</x:v>
      </x:c>
      <x:c r="S243" s="9" t="str">
        <x:v>2026-08-06</x:v>
      </x:c>
      <x:c r="T243" s="9" t="str">
        <x:v>evidence/server-test-json-final-156.json</x:v>
      </x:c>
      <x:c r="U243" s="9" t="str">
        <x:v>Server: server/src/common/logging/redact.util.spec.ts :: redactSensitive redacts bearer tokens in strings
Server: server/src/common/logging/redact.util.spec.ts :: redactSensitive masks financial, comment and representative fields</x:v>
      </x:c>
    </x:row>
    <x:row r="244">
      <x:c r="A244" s="9" t="str">
        <x:v>PLT-004</x:v>
      </x:c>
      <x:c r="B244" s="9" t="str">
        <x:v>Platform Quality</x:v>
      </x:c>
      <x:c r="C244" s="9" t="str">
        <x:v>Single realtime socket</x:v>
      </x:c>
      <x:c r="D244" s="9" t="str">
        <x:v>вошедший пользователь</x:v>
      </x:c>
      <x:c r="E244" s="9" t="str">
        <x:v>Как вошедший пользователь, я хочу не создавать двойные connections, чтобы рабочий сценарий был предсказуемым.</x:v>
      </x:c>
      <x:c r="F244" s="9" t="str">
        <x:v>Приложение/сервер запущены в соответствующей среде.</x:v>
      </x:c>
      <x:c r="G244" s="9" t="str">
        <x:v>Выполнить lifecycle/network/device/platform action.</x:v>
      </x:c>
      <x:c r="H244" s="9" t="str">
        <x:v>Messenger/CRM/access consumers share one ref-counted socket; it closes after last view.</x:v>
      </x:c>
      <x:c r="I244" s="9" t="str">
        <x:v>current account</x:v>
      </x:c>
      <x:c r="J244" s="9" t="str">
        <x:v>Windows, Android, Server</x:v>
      </x:c>
      <x:c r="K244" s="9" t="str">
        <x:v>lib/main.dart; lib/core/services; lib/core/update</x:v>
      </x:c>
      <x:c r="L244" s="9" t="str">
        <x:v>server/src/main.ts; server/src/health; server/src/realtime; server/src/files; server/src/notifications</x:v>
      </x:c>
      <x:c r="M244" s="9" t="str">
        <x:v>test/core; integration_test; server/src/**/*.spec.ts; docs/audits/v6-role-workspace-acceptance.md</x:v>
      </x:c>
      <x:c r="N244" s="9" t="str">
        <x:v>CODE-BACKED</x:v>
      </x:c>
      <x:c r="O244" s="9" t="str">
        <x:v>PASS</x:v>
      </x:c>
      <x:c r="P244" s="9" t="str">
        <x:v>Post-fix acceptance passed for Single realtime socket: 1 exact named test(s) matched and passed on build 1.2.3+156.</x:v>
      </x:c>
      <x:c r="Q244" s="9" t="str"/>
      <x:c r="R244" s="9" t="str">
        <x:v>P0</x:v>
      </x:c>
      <x:c r="S244" s="9" t="str">
        <x:v>2026-08-06</x:v>
      </x:c>
      <x:c r="T244" s="9" t="str">
        <x:v>evidence/flutter-test-machine-final-156.ndjson</x:v>
      </x:c>
      <x:c r="U244" s="9" t="str">
        <x:v>Flutter: test/core/services/magic_realtime_service_test.dart :: MagicRealtimeService shares one socket across consumers and closes it with the last one</x:v>
      </x:c>
    </x:row>
    <x:row r="245">
      <x:c r="A245" s="9" t="str">
        <x:v>PLT-005</x:v>
      </x:c>
      <x:c r="B245" s="9" t="str">
        <x:v>Platform Quality</x:v>
      </x:c>
      <x:c r="C245" s="9" t="str">
        <x:v>Realtime account isolation</x:v>
      </x:c>
      <x:c r="D245" s="9" t="str">
        <x:v>пользователь</x:v>
      </x:c>
      <x:c r="E245" s="9" t="str">
        <x:v>Как пользователь, я хочу не получить события предыдущего account, чтобы рабочий сценарий был предсказуемым.</x:v>
      </x:c>
      <x:c r="F245" s="9" t="str">
        <x:v>Приложение/сервер запущены в соответствующей среде.</x:v>
      </x:c>
      <x:c r="G245" s="9" t="str">
        <x:v>Выполнить lifecycle/network/device/platform action.</x:v>
      </x:c>
      <x:c r="H245" s="9" t="str">
        <x:v>Logout/token subject change detaches handlers, disconnects old socket and rejects delayed A reconnect under B token.</x:v>
      </x:c>
      <x:c r="I245" s="9" t="str">
        <x:v>account isolation</x:v>
      </x:c>
      <x:c r="J245" s="9" t="str">
        <x:v>Windows, Android, Server</x:v>
      </x:c>
      <x:c r="K245" s="9" t="str">
        <x:v>lib/main.dart; lib/core/services; lib/core/update</x:v>
      </x:c>
      <x:c r="L245" s="9" t="str">
        <x:v>server/src/main.ts; server/src/health; server/src/realtime; server/src/files; server/src/notifications</x:v>
      </x:c>
      <x:c r="M245" s="9" t="str">
        <x:v>test/core; integration_test; server/src/**/*.spec.ts; docs/audits/v6-role-workspace-acceptance.md</x:v>
      </x:c>
      <x:c r="N245" s="9" t="str">
        <x:v>CODE-BACKED</x:v>
      </x:c>
      <x:c r="O245" s="9" t="str">
        <x:v>PASS</x:v>
      </x:c>
      <x:c r="P245" s="9" t="str">
        <x:v>Post-fix acceptance passed for Realtime account isolation: 1 exact named test(s) matched and passed on build 1.2.3+156.</x:v>
      </x:c>
      <x:c r="Q245" s="9" t="str"/>
      <x:c r="R245" s="9" t="str">
        <x:v>P0</x:v>
      </x:c>
      <x:c r="S245" s="9" t="str">
        <x:v>2026-08-06</x:v>
      </x:c>
      <x:c r="T245" s="9" t="str">
        <x:v>evidence/flutter-test-machine-final-156.ndjson</x:v>
      </x:c>
      <x:c r="U245" s="9" t="str">
        <x:v>Flutter: test/core/services/magic_realtime_service_test.dart :: MagicRealtimeService logout A then login B force-disposes A transport and detaches handlers</x:v>
      </x:c>
    </x:row>
    <x:row r="246">
      <x:c r="A246" s="9" t="str">
        <x:v>PLT-006</x:v>
      </x:c>
      <x:c r="B246" s="9" t="str">
        <x:v>Platform Quality</x:v>
      </x:c>
      <x:c r="C246" s="9" t="str">
        <x:v>CRM invalidation</x:v>
      </x:c>
      <x:c r="D246" s="9" t="str">
        <x:v>staff/teacher</x:v>
      </x:c>
      <x:c r="E246" s="9" t="str">
        <x:v>Как staff/teacher, я хочу увидеть актуальные CRM данные, чтобы рабочий сценарий был предсказуемым.</x:v>
      </x:c>
      <x:c r="F246" s="9" t="str">
        <x:v>Приложение/сервер запущены в соответствующей среде.</x:v>
      </x:c>
      <x:c r="G246" s="9" t="str">
        <x:v>Выполнить lifecycle/network/device/platform action.</x:v>
      </x:c>
      <x:c r="H246" s="9" t="str">
        <x:v>Body-free hint triggers scoped refetch; no forbidden payload values travel in event.</x:v>
      </x:c>
      <x:c r="I246" s="9" t="str">
        <x:v>actor scope</x:v>
      </x:c>
      <x:c r="J246" s="9" t="str">
        <x:v>Windows, Android, Server</x:v>
      </x:c>
      <x:c r="K246" s="9" t="str">
        <x:v>lib/main.dart; lib/core/services; lib/core/update</x:v>
      </x:c>
      <x:c r="L246" s="9" t="str">
        <x:v>server/src/main.ts; server/src/health; server/src/realtime; server/src/files; server/src/notifications</x:v>
      </x:c>
      <x:c r="M246" s="9" t="str">
        <x:v>test/core; integration_test; server/src/**/*.spec.ts; docs/audits/v6-role-workspace-acceptance.md</x:v>
      </x:c>
      <x:c r="N246" s="9" t="str">
        <x:v>CODE-BACKED</x:v>
      </x:c>
      <x:c r="O246" s="9" t="str">
        <x:v>PASS</x:v>
      </x:c>
      <x:c r="P246" s="9" t="str">
        <x:v>Post-fix acceptance passed for CRM invalidation: 1 exact named test(s) matched and passed on build 1.2.3+156.</x:v>
      </x:c>
      <x:c r="Q246" s="9" t="str"/>
      <x:c r="R246" s="9" t="str">
        <x:v>P0</x:v>
      </x:c>
      <x:c r="S246" s="9" t="str">
        <x:v>2026-08-06</x:v>
      </x:c>
      <x:c r="T246" s="9" t="str">
        <x:v>evidence/server-test-json-final-156.json</x:v>
      </x:c>
      <x:c r="U246" s="9" t="str">
        <x:v>Server: server/src/access-control/actor-matrix-payload-leak.spec.ts :: v4 Teacher payload leak scan keeps access/CRM realtime payloads free of business and PII values</x:v>
      </x:c>
    </x:row>
    <x:row r="247">
      <x:c r="A247" s="9" t="str">
        <x:v>PLT-007</x:v>
      </x:c>
      <x:c r="B247" s="9" t="str">
        <x:v>Platform Quality</x:v>
      </x:c>
      <x:c r="C247" s="9" t="str">
        <x:v>Access invalidation</x:v>
      </x:c>
      <x:c r="D247" s="9" t="str">
        <x:v>вошедший пользователь</x:v>
      </x:c>
      <x:c r="E247" s="9" t="str">
        <x:v>Как вошедший пользователь, я хочу сразу применить изменение прав, чтобы рабочий сценарий был предсказуемым.</x:v>
      </x:c>
      <x:c r="F247" s="9" t="str">
        <x:v>Приложение/сервер запущены в соответствующей среде.</x:v>
      </x:c>
      <x:c r="G247" s="9" t="str">
        <x:v>Выполнить lifecycle/network/device/platform action.</x:v>
      </x:c>
      <x:c r="H247" s="9" t="str">
        <x:v>All sessions refetch capability snapshot/router; next REST call reads current DB policy.</x:v>
      </x:c>
      <x:c r="I247" s="9" t="str">
        <x:v>current user</x:v>
      </x:c>
      <x:c r="J247" s="9" t="str">
        <x:v>Windows, Android, Server</x:v>
      </x:c>
      <x:c r="K247" s="9" t="str">
        <x:v>lib/main.dart; lib/core/services; lib/core/update</x:v>
      </x:c>
      <x:c r="L247" s="9" t="str">
        <x:v>server/src/main.ts; server/src/health; server/src/realtime; server/src/files; server/src/notifications</x:v>
      </x:c>
      <x:c r="M247" s="9" t="str">
        <x:v>test/core; integration_test; server/src/**/*.spec.ts; docs/audits/v6-role-workspace-acceptance.md</x:v>
      </x:c>
      <x:c r="N247" s="9" t="str">
        <x:v>CODE-BACKED</x:v>
      </x:c>
      <x:c r="O247" s="9" t="str">
        <x:v>PASS</x:v>
      </x:c>
      <x:c r="P247" s="9" t="str">
        <x:v>Post-fix acceptance passed for Access invalidation: 1 exact named test(s) matched and passed on build 1.2.3+156.</x:v>
      </x:c>
      <x:c r="Q247" s="9" t="str"/>
      <x:c r="R247" s="9" t="str">
        <x:v>P0</x:v>
      </x:c>
      <x:c r="S247" s="9" t="str">
        <x:v>2026-08-06</x:v>
      </x:c>
      <x:c r="T247" s="9" t="str">
        <x:v>evidence/server-test-json-final-156.json</x:v>
      </x:c>
      <x:c r="U247" s="9" t="str">
        <x:v>Server: server/src/access-control/access-invalidation.integration.spec.ts :: access/session invalidation (PostgreSQL + realtime) revokes both active sessions within five seconds and denies the next request</x:v>
      </x:c>
    </x:row>
    <x:row r="248">
      <x:c r="A248" s="9" t="str">
        <x:v>PLT-008</x:v>
      </x:c>
      <x:c r="B248" s="9" t="str">
        <x:v>Platform Quality</x:v>
      </x:c>
      <x:c r="C248" s="9" t="str">
        <x:v>Push token sync</x:v>
      </x:c>
      <x:c r="D248" s="9" t="str">
        <x:v>mobile пользователь</x:v>
      </x:c>
      <x:c r="E248" s="9" t="str">
        <x:v>Как mobile пользователь, я хочу получать уведомления на текущем устройстве, чтобы рабочий сценарий был предсказуемым.</x:v>
      </x:c>
      <x:c r="F248" s="9" t="str">
        <x:v>Приложение/сервер запущены в соответствующей среде.</x:v>
      </x:c>
      <x:c r="G248" s="9" t="str">
        <x:v>Выполнить lifecycle/network/device/platform action.</x:v>
      </x:c>
      <x:c r="H248" s="9" t="str">
        <x:v>Current device token registers after session and updates safely; logout/account switch prevents cross-account token ownership.</x:v>
      </x:c>
      <x:c r="I248" s="9" t="str">
        <x:v>self device</x:v>
      </x:c>
      <x:c r="J248" s="9" t="str">
        <x:v>Windows, Android, Server</x:v>
      </x:c>
      <x:c r="K248" s="9" t="str">
        <x:v>lib/main.dart; lib/core/services; lib/core/update</x:v>
      </x:c>
      <x:c r="L248" s="9" t="str">
        <x:v>server/src/main.ts; server/src/health; server/src/realtime; server/src/files; server/src/notifications</x:v>
      </x:c>
      <x:c r="M248" s="9" t="str">
        <x:v>test/core; integration_test; server/src/**/*.spec.ts; docs/audits/v6-role-workspace-acceptance.md</x:v>
      </x:c>
      <x:c r="N248" s="9" t="str">
        <x:v>CODE-BACKED</x:v>
      </x:c>
      <x:c r="O248" s="9" t="str">
        <x:v>PASS</x:v>
      </x:c>
      <x:c r="P248" s="9" t="str">
        <x:v>Post-fix acceptance passed for Push token sync: 1 exact named test(s) matched and passed on build 1.2.3+156.</x:v>
      </x:c>
      <x:c r="Q248" s="9" t="str"/>
      <x:c r="R248" s="9" t="str">
        <x:v>P0</x:v>
      </x:c>
      <x:c r="S248" s="9" t="str">
        <x:v>2026-08-06</x:v>
      </x:c>
      <x:c r="T248" s="9" t="str">
        <x:v>evidence/server-test-json-final-156.json</x:v>
      </x:c>
      <x:c r="U248" s="9" t="str">
        <x:v>Server: server/src/notifications/notifications.service.spec.ts :: NotificationsService registers an encrypted device token and atomically transfers its active owner</x:v>
      </x:c>
    </x:row>
    <x:row r="249">
      <x:c r="A249" s="9" t="str">
        <x:v>PLT-009</x:v>
      </x:c>
      <x:c r="B249" s="9" t="str">
        <x:v>Platform Quality</x:v>
      </x:c>
      <x:c r="C249" s="9" t="str">
        <x:v>Notification inbox</x:v>
      </x:c>
      <x:c r="D249" s="9" t="str">
        <x:v>вошедший пользователь</x:v>
      </x:c>
      <x:c r="E249" s="9" t="str">
        <x:v>Как вошедший пользователь, я хочу прочитать уведомления, чтобы рабочий сценарий был предсказуемым.</x:v>
      </x:c>
      <x:c r="F249" s="9" t="str">
        <x:v>Приложение/сервер запущены в соответствующей среде.</x:v>
      </x:c>
      <x:c r="G249" s="9" t="str">
        <x:v>Выполнить lifecycle/network/device/platform action.</x:v>
      </x:c>
      <x:c r="H249" s="9" t="str">
        <x:v>List/read-one/read-all reflect server state and actor scope.</x:v>
      </x:c>
      <x:c r="I249" s="9" t="str">
        <x:v>self</x:v>
      </x:c>
      <x:c r="J249" s="9" t="str">
        <x:v>Windows, Android, Server</x:v>
      </x:c>
      <x:c r="K249" s="9" t="str">
        <x:v>lib/main.dart; lib/core/services; lib/core/update</x:v>
      </x:c>
      <x:c r="L249" s="9" t="str">
        <x:v>server/src/main.ts; server/src/health; server/src/realtime; server/src/files; server/src/notifications</x:v>
      </x:c>
      <x:c r="M249" s="9" t="str">
        <x:v>test/core; integration_test; server/src/**/*.spec.ts; docs/audits/v6-role-workspace-acceptance.md</x:v>
      </x:c>
      <x:c r="N249" s="9" t="str">
        <x:v>CODE-BACKED</x:v>
      </x:c>
      <x:c r="O249" s="9" t="str">
        <x:v>PASS</x:v>
      </x:c>
      <x:c r="P249" s="9" t="str">
        <x:v>Post-fix acceptance passed for Notification inbox: 1 exact named test(s) matched and passed on build 1.2.3+156.</x:v>
      </x:c>
      <x:c r="Q249" s="9" t="str"/>
      <x:c r="R249" s="9" t="str">
        <x:v>P1</x:v>
      </x:c>
      <x:c r="S249" s="9" t="str">
        <x:v>2026-08-06</x:v>
      </x:c>
      <x:c r="T249" s="9" t="str">
        <x:v>evidence/flutter-test-machine-final-156.ndjson</x:v>
      </x:c>
      <x:c r="U249" s="9" t="str">
        <x:v>Flutter: test/core/services/magic_notifications_service_test.dart :: MagicNotificationsService lists and marks notifications through v3 API</x:v>
      </x:c>
    </x:row>
    <x:row r="250">
      <x:c r="A250" s="9" t="str">
        <x:v>PLT-010</x:v>
      </x:c>
      <x:c r="B250" s="9" t="str">
        <x:v>Platform Quality</x:v>
      </x:c>
      <x:c r="C250" s="9" t="str">
        <x:v>Notification preferences</x:v>
      </x:c>
      <x:c r="D250" s="9" t="str">
        <x:v>вошедший пользователь</x:v>
      </x:c>
      <x:c r="E250" s="9" t="str">
        <x:v>Как вошедший пользователь, я хочу изменить уведомления, чтобы рабочий сценарий был предсказуемым.</x:v>
      </x:c>
      <x:c r="F250" s="9" t="str">
        <x:v>Приложение/сервер запущены в соответствующей среде.</x:v>
      </x:c>
      <x:c r="G250" s="9" t="str">
        <x:v>Выполнить lifecycle/network/device/platform action.</x:v>
      </x:c>
      <x:c r="H250" s="9" t="str">
        <x:v>Preferences load/update per account; device removal affects only selected device.</x:v>
      </x:c>
      <x:c r="I250" s="9" t="str">
        <x:v>self</x:v>
      </x:c>
      <x:c r="J250" s="9" t="str">
        <x:v>Windows, Android, Server</x:v>
      </x:c>
      <x:c r="K250" s="9" t="str">
        <x:v>lib/main.dart; lib/core/services; lib/core/update</x:v>
      </x:c>
      <x:c r="L250" s="9" t="str">
        <x:v>server/src/main.ts; server/src/health; server/src/realtime; server/src/files; server/src/notifications</x:v>
      </x:c>
      <x:c r="M250" s="9" t="str">
        <x:v>test/core; integration_test; server/src/**/*.spec.ts; docs/audits/v6-role-workspace-acceptance.md</x:v>
      </x:c>
      <x:c r="N250" s="9" t="str">
        <x:v>CODE-BACKED</x:v>
      </x:c>
      <x:c r="O250" s="9" t="str">
        <x:v>PASS</x:v>
      </x:c>
      <x:c r="P250" s="9" t="str">
        <x:v>Post-fix acceptance passed for Notification preferences: 1 exact named test(s) matched and passed on build 1.2.3+156.</x:v>
      </x:c>
      <x:c r="Q250" s="9" t="str"/>
      <x:c r="R250" s="9" t="str">
        <x:v>P1</x:v>
      </x:c>
      <x:c r="S250" s="9" t="str">
        <x:v>2026-08-06</x:v>
      </x:c>
      <x:c r="T250" s="9" t="str">
        <x:v>evidence/flutter-test-machine-final-156.ndjson</x:v>
      </x:c>
      <x:c r="U250" s="9" t="str">
        <x:v>Flutter: test/features/manager/notification_preferences_dialog_test.dart :: renders a row per role and saves a toggle</x:v>
      </x:c>
    </x:row>
    <x:row r="251">
      <x:c r="A251" s="9" t="str">
        <x:v>PLT-011</x:v>
      </x:c>
      <x:c r="B251" s="9" t="str">
        <x:v>Platform Quality</x:v>
      </x:c>
      <x:c r="C251" s="9" t="str">
        <x:v>File upload</x:v>
      </x:c>
      <x:c r="D251" s="9" t="str">
        <x:v>разрешённый пользователь</x:v>
      </x:c>
      <x:c r="E251" s="9" t="str">
        <x:v>Как разрешённый пользователь, я хочу загрузить файл, чтобы рабочий сценарий был предсказуемым.</x:v>
      </x:c>
      <x:c r="F251" s="9" t="str">
        <x:v>Приложение/сервер запущены в соответствующей среде.</x:v>
      </x:c>
      <x:c r="G251" s="9" t="str">
        <x:v>Выполнить lifecycle/network/device/platform action.</x:v>
      </x:c>
      <x:c r="H251" s="9" t="str">
        <x:v>Size/type/access validate; incomplete upload does not create dangling product record.</x:v>
      </x:c>
      <x:c r="I251" s="9" t="str">
        <x:v>file policy</x:v>
      </x:c>
      <x:c r="J251" s="9" t="str">
        <x:v>Windows, Android, Server</x:v>
      </x:c>
      <x:c r="K251" s="9" t="str">
        <x:v>lib/main.dart; lib/core/services; lib/core/update</x:v>
      </x:c>
      <x:c r="L251" s="9" t="str">
        <x:v>server/src/main.ts; server/src/health; server/src/realtime; server/src/files; server/src/notifications</x:v>
      </x:c>
      <x:c r="M251" s="9" t="str">
        <x:v>test/core; integration_test; server/src/**/*.spec.ts; docs/audits/v6-role-workspace-acceptance.md</x:v>
      </x:c>
      <x:c r="N251" s="9" t="str">
        <x:v>CODE-BACKED</x:v>
      </x:c>
      <x:c r="O251" s="9" t="str">
        <x:v>PASS</x:v>
      </x:c>
      <x:c r="P251" s="9" t="str">
        <x:v>Post-fix acceptance passed for File upload: 1 exact named test(s) matched and passed on build 1.2.3+156.</x:v>
      </x:c>
      <x:c r="Q251" s="9" t="str"/>
      <x:c r="R251" s="9" t="str">
        <x:v>P0</x:v>
      </x:c>
      <x:c r="S251" s="9" t="str">
        <x:v>2026-08-06</x:v>
      </x:c>
      <x:c r="T251" s="9" t="str">
        <x:v>evidence/flutter-test-machine-final-156.ndjson</x:v>
      </x:c>
      <x:c r="U251" s="9" t="str">
        <x:v>Flutter: test/core/widgets/send_file_dialog_test.dart :: keeps dialog open and surfaces upload failure</x:v>
      </x:c>
    </x:row>
    <x:row r="252">
      <x:c r="A252" s="9" t="str">
        <x:v>PLT-012</x:v>
      </x:c>
      <x:c r="B252" s="9" t="str">
        <x:v>Platform Quality</x:v>
      </x:c>
      <x:c r="C252" s="9" t="str">
        <x:v>File download</x:v>
      </x:c>
      <x:c r="D252" s="9" t="str">
        <x:v>разрешённый пользователь</x:v>
      </x:c>
      <x:c r="E252" s="9" t="str">
        <x:v>Как разрешённый пользователь, я хочу скачать файл, чтобы рабочий сценарий был предсказуемым.</x:v>
      </x:c>
      <x:c r="F252" s="9" t="str">
        <x:v>Приложение/сервер запущены в соответствующей среде.</x:v>
      </x:c>
      <x:c r="G252" s="9" t="str">
        <x:v>Выполнить lifecycle/network/device/platform action.</x:v>
      </x:c>
      <x:c r="H252" s="9" t="str">
        <x:v>Short-lived token and access check prevent URL reuse by forbidden actor.</x:v>
      </x:c>
      <x:c r="I252" s="9" t="str">
        <x:v>file policy</x:v>
      </x:c>
      <x:c r="J252" s="9" t="str">
        <x:v>Windows, Android, Server</x:v>
      </x:c>
      <x:c r="K252" s="9" t="str">
        <x:v>lib/main.dart; lib/core/services; lib/core/update</x:v>
      </x:c>
      <x:c r="L252" s="9" t="str">
        <x:v>server/src/main.ts; server/src/health; server/src/realtime; server/src/files; server/src/notifications</x:v>
      </x:c>
      <x:c r="M252" s="9" t="str">
        <x:v>test/core; integration_test; server/src/**/*.spec.ts; docs/audits/v6-role-workspace-acceptance.md</x:v>
      </x:c>
      <x:c r="N252" s="9" t="str">
        <x:v>CODE-BACKED</x:v>
      </x:c>
      <x:c r="O252" s="9" t="str">
        <x:v>PASS</x:v>
      </x:c>
      <x:c r="P252" s="9" t="str">
        <x:v>Post-fix acceptance passed for File download: 1 exact named test(s) matched and passed on build 1.2.3+156.</x:v>
      </x:c>
      <x:c r="Q252" s="9" t="str"/>
      <x:c r="R252" s="9" t="str">
        <x:v>P0</x:v>
      </x:c>
      <x:c r="S252" s="9" t="str">
        <x:v>2026-08-06</x:v>
      </x:c>
      <x:c r="T252" s="9" t="str">
        <x:v>evidence/server-test-json-final-156.json</x:v>
      </x:c>
      <x:c r="U252" s="9" t="str">
        <x:v>Server: server/src/files/files.service.spec.ts :: FilesService.downloadByToken rejects invalid or expired download tokens</x:v>
      </x:c>
    </x:row>
    <x:row r="253">
      <x:c r="A253" s="9" t="str">
        <x:v>PLT-013</x:v>
      </x:c>
      <x:c r="B253" s="9" t="str">
        <x:v>Platform Quality</x:v>
      </x:c>
      <x:c r="C253" s="9" t="str">
        <x:v>File delete</x:v>
      </x:c>
      <x:c r="D253" s="9" t="str">
        <x:v>разрешённый owner</x:v>
      </x:c>
      <x:c r="E253" s="9" t="str">
        <x:v>Как разрешённый owner, я хочу удалить файл, чтобы рабочий сценарий был предсказуемым.</x:v>
      </x:c>
      <x:c r="F253" s="9" t="str">
        <x:v>Приложение/сервер запущены в соответствующей среде.</x:v>
      </x:c>
      <x:c r="G253" s="9" t="str">
        <x:v>Выполнить lifecycle/network/device/platform action.</x:v>
      </x:c>
      <x:c r="H253" s="9" t="str">
        <x:v>Deletion checks references/policy and does not remove file used by protected history.</x:v>
      </x:c>
      <x:c r="I253" s="9" t="str">
        <x:v>file policy</x:v>
      </x:c>
      <x:c r="J253" s="9" t="str">
        <x:v>Windows, Android, Server</x:v>
      </x:c>
      <x:c r="K253" s="9" t="str">
        <x:v>lib/main.dart; lib/core/services; lib/core/update</x:v>
      </x:c>
      <x:c r="L253" s="9" t="str">
        <x:v>server/src/main.ts; server/src/health; server/src/realtime; server/src/files; server/src/notifications</x:v>
      </x:c>
      <x:c r="M253" s="9" t="str">
        <x:v>test/core; integration_test; server/src/**/*.spec.ts; docs/audits/v6-role-workspace-acceptance.md</x:v>
      </x:c>
      <x:c r="N253" s="9" t="str">
        <x:v>CODE-BACKED</x:v>
      </x:c>
      <x:c r="O253" s="9" t="str">
        <x:v>PASS</x:v>
      </x:c>
      <x:c r="P253" s="9" t="str">
        <x:v>Post-fix acceptance passed for File delete: 1 exact named test(s) matched and passed on build 1.2.3+156.</x:v>
      </x:c>
      <x:c r="Q253" s="9" t="str"/>
      <x:c r="R253" s="9" t="str">
        <x:v>P0</x:v>
      </x:c>
      <x:c r="S253" s="9" t="str">
        <x:v>2026-08-06</x:v>
      </x:c>
      <x:c r="T253" s="9" t="str">
        <x:v>evidence/server-test-json-final-156.json</x:v>
      </x:c>
      <x:c r="U253" s="9" t="str">
        <x:v>Server: server/src/files/files.service.spec.ts :: FilesService.delete checks delete policy and soft-deletes the file without erasing storage history</x:v>
      </x:c>
    </x:row>
    <x:row r="254">
      <x:c r="A254" s="9" t="str">
        <x:v>PLT-014</x:v>
      </x:c>
      <x:c r="B254" s="9" t="str">
        <x:v>Platform Quality</x:v>
      </x:c>
      <x:c r="C254" s="9" t="str">
        <x:v>Windows update</x:v>
      </x:c>
      <x:c r="D254" s="9" t="str">
        <x:v>Windows пользователь</x:v>
      </x:c>
      <x:c r="E254" s="9" t="str">
        <x:v>Как Windows пользователь, я хочу безопасно установить новую версию, чтобы рабочий сценарий был предсказуемым.</x:v>
      </x:c>
      <x:c r="F254" s="9" t="str">
        <x:v>Приложение/сервер запущены в соответствующей среде.</x:v>
      </x:c>
      <x:c r="G254" s="9" t="str">
        <x:v>Выполнить lifecycle/network/device/platform action.</x:v>
      </x:c>
      <x:c r="H254" s="9" t="str">
        <x:v>Package/hash/command/receipt verified; timeout/process failure reported, current install not silently corrupted.</x:v>
      </x:c>
      <x:c r="I254" s="9" t="str">
        <x:v>Windows updater</x:v>
      </x:c>
      <x:c r="J254" s="9" t="str">
        <x:v>Windows, Android, Server</x:v>
      </x:c>
      <x:c r="K254" s="9" t="str">
        <x:v>lib/main.dart; lib/core/services; lib/core/update</x:v>
      </x:c>
      <x:c r="L254" s="9" t="str">
        <x:v>server/src/main.ts; server/src/health; server/src/realtime; server/src/files; server/src/notifications</x:v>
      </x:c>
      <x:c r="M254" s="9" t="str">
        <x:v>test/core; integration_test; server/src/**/*.spec.ts; docs/audits/v6-role-workspace-acceptance.md</x:v>
      </x:c>
      <x:c r="N254" s="9" t="str">
        <x:v>CODE-BACKED</x:v>
      </x:c>
      <x:c r="O254" s="9" t="str">
        <x:v>PASS</x:v>
      </x:c>
      <x:c r="P254" s="9" t="str">
        <x:v>Post-fix acceptance passed for Windows update: 1 exact named test(s) matched and passed on build 1.2.3+156.</x:v>
      </x:c>
      <x:c r="Q254" s="9" t="str"/>
      <x:c r="R254" s="9" t="str">
        <x:v>P0</x:v>
      </x:c>
      <x:c r="S254" s="9" t="str">
        <x:v>2026-08-06</x:v>
      </x:c>
      <x:c r="T254" s="9" t="str">
        <x:v>evidence/flutter-test-machine-final-156.ndjson</x:v>
      </x:c>
      <x:c r="U254" s="9" t="str">
        <x:v>Flutter: test/core/update/windows_update_service_test.dart :: verified PowerShell launch CIM broker verifies launch-command bytes before process create</x:v>
      </x:c>
    </x:row>
    <x:row r="255">
      <x:c r="A255" s="9" t="str">
        <x:v>PLT-015</x:v>
      </x:c>
      <x:c r="B255" s="9" t="str">
        <x:v>Platform Quality</x:v>
      </x:c>
      <x:c r="C255" s="9" t="str">
        <x:v>Reduced motion</x:v>
      </x:c>
      <x:c r="D255" s="9" t="str">
        <x:v>пользователь</x:v>
      </x:c>
      <x:c r="E255" s="9" t="str">
        <x:v>Как пользователь, я хочу отключить необязательную анимацию, чтобы рабочий сценарий был предсказуемым.</x:v>
      </x:c>
      <x:c r="F255" s="9" t="str">
        <x:v>Приложение/сервер запущены в соответствующей среде.</x:v>
      </x:c>
      <x:c r="G255" s="9" t="str">
        <x:v>Выполнить lifecycle/network/device/platform action.</x:v>
      </x:c>
      <x:c r="H255" s="9" t="str">
        <x:v>Motion uses design tokens and respects reduced-motion accessibility setting.</x:v>
      </x:c>
      <x:c r="I255" s="9" t="str">
        <x:v>accessibility</x:v>
      </x:c>
      <x:c r="J255" s="9" t="str">
        <x:v>Windows, Android, Server</x:v>
      </x:c>
      <x:c r="K255" s="9" t="str">
        <x:v>lib/main.dart; lib/core/services; lib/core/update</x:v>
      </x:c>
      <x:c r="L255" s="9" t="str">
        <x:v>server/src/main.ts; server/src/health; server/src/realtime; server/src/files; server/src/notifications</x:v>
      </x:c>
      <x:c r="M255" s="9" t="str">
        <x:v>test/core; integration_test; server/src/**/*.spec.ts; docs/audits/v6-role-workspace-acceptance.md</x:v>
      </x:c>
      <x:c r="N255" s="9" t="str">
        <x:v>CODE-BACKED</x:v>
      </x:c>
      <x:c r="O255" s="9" t="str">
        <x:v>PASS</x:v>
      </x:c>
      <x:c r="P255" s="9" t="str">
        <x:v>Post-fix acceptance passed for Reduced motion: 1 exact named test(s) matched and passed on build 1.2.3+156.</x:v>
      </x:c>
      <x:c r="Q255" s="9" t="str"/>
      <x:c r="R255" s="9" t="str">
        <x:v>P1</x:v>
      </x:c>
      <x:c r="S255" s="9" t="str">
        <x:v>2026-08-06</x:v>
      </x:c>
      <x:c r="T255" s="9" t="str">
        <x:v>evidence/flutter-test-machine-final-156.ndjson</x:v>
      </x:c>
      <x:c r="U255" s="9" t="str">
        <x:v>Flutter: test/features/v6/visual_baseline_test.dart :: reduced motion resolves token duration to zero</x:v>
      </x:c>
    </x:row>
    <x:row r="256">
      <x:c r="A256" s="9" t="str">
        <x:v>PLT-016</x:v>
      </x:c>
      <x:c r="B256" s="9" t="str">
        <x:v>Platform Quality</x:v>
      </x:c>
      <x:c r="C256" s="9" t="str">
        <x:v>Desktop scrolling</x:v>
      </x:c>
      <x:c r="D256" s="9" t="str">
        <x:v>Windows пользователь</x:v>
      </x:c>
      <x:c r="E256" s="9" t="str">
        <x:v>Как Windows пользователь, я хочу управлять длинными surfaces мышью, чтобы рабочий сценарий был предсказуемым.</x:v>
      </x:c>
      <x:c r="F256" s="9" t="str">
        <x:v>Приложение/сервер запущены в соответствующей среде.</x:v>
      </x:c>
      <x:c r="G256" s="9" t="str">
        <x:v>Выполнить lifecycle/network/device/platform action.</x:v>
      </x:c>
      <x:c r="H256" s="9" t="str">
        <x:v>Visible owned scrollbars, wheel/Shift+wheel and edge handoff work across 13 production scroll surfaces.</x:v>
      </x:c>
      <x:c r="I256" s="9" t="str">
        <x:v>desktop input</x:v>
      </x:c>
      <x:c r="J256" s="9" t="str">
        <x:v>Windows, Android, Server</x:v>
      </x:c>
      <x:c r="K256" s="9" t="str">
        <x:v>lib/main.dart; lib/core/services; lib/core/update</x:v>
      </x:c>
      <x:c r="L256" s="9" t="str">
        <x:v>server/src/main.ts; server/src/health; server/src/realtime; server/src/files; server/src/notifications</x:v>
      </x:c>
      <x:c r="M256" s="9" t="str">
        <x:v>test/core; integration_test; server/src/**/*.spec.ts; docs/audits/v6-role-workspace-acceptance.md</x:v>
      </x:c>
      <x:c r="N256" s="9" t="str">
        <x:v>CODE-BACKED</x:v>
      </x:c>
      <x:c r="O256" s="9" t="str">
        <x:v>PASS</x:v>
      </x:c>
      <x:c r="P256" s="9" t="str">
        <x:v>Post-fix acceptance passed for Desktop scrolling: 1 exact named test(s) matched and passed on build 1.2.3+156.</x:v>
      </x:c>
      <x:c r="Q256" s="9" t="str"/>
      <x:c r="R256" s="9" t="str">
        <x:v>P0</x:v>
      </x:c>
      <x:c r="S256" s="9" t="str">
        <x:v>2026-08-06</x:v>
      </x:c>
      <x:c r="T256" s="9" t="str">
        <x:v>evidence/flutter-test-machine-final-156.ndjson</x:v>
      </x:c>
      <x:c r="U256" s="9" t="str">
        <x:v>Flutter: test/core/widgets/magic_desktop_scrollbar_test.dart :: nested wheel keeps vertical ownership and Shift moves board</x:v>
      </x:c>
    </x:row>
    <x:row r="257">
      <x:c r="A257" s="9" t="str">
        <x:v>PLT-017</x:v>
      </x:c>
      <x:c r="B257" s="9" t="str">
        <x:v>Platform Quality</x:v>
      </x:c>
      <x:c r="C257" s="9" t="str">
        <x:v>Responsive layout</x:v>
      </x:c>
      <x:c r="D257" s="9" t="str">
        <x:v>пользователь</x:v>
      </x:c>
      <x:c r="E257" s="9" t="str">
        <x:v>Как пользователь, я хочу работать на поддержанных ширинах/text scale, чтобы рабочий сценарий был предсказуемым.</x:v>
      </x:c>
      <x:c r="F257" s="9" t="str">
        <x:v>Приложение/сервер запущены в соответствующей среде.</x:v>
      </x:c>
      <x:c r="G257" s="9" t="str">
        <x:v>Выполнить lifecycle/network/device/platform action.</x:v>
      </x:c>
      <x:c r="H257" s="9" t="str">
        <x:v>360/600/839/840/1000/1200 layouts preserve content/actions, SafeArea and keyboard without overflow.</x:v>
      </x:c>
      <x:c r="I257" s="9" t="str">
        <x:v>device layout</x:v>
      </x:c>
      <x:c r="J257" s="9" t="str">
        <x:v>Windows, Android, Server</x:v>
      </x:c>
      <x:c r="K257" s="9" t="str">
        <x:v>lib/main.dart; lib/core/services; lib/core/update</x:v>
      </x:c>
      <x:c r="L257" s="9" t="str">
        <x:v>server/src/main.ts; server/src/health; server/src/realtime; server/src/files; server/src/notifications</x:v>
      </x:c>
      <x:c r="M257" s="9" t="str">
        <x:v>test/core; integration_test; server/src/**/*.spec.ts; docs/audits/v6-role-workspace-acceptance.md</x:v>
      </x:c>
      <x:c r="N257" s="9" t="str">
        <x:v>CODE-BACKED</x:v>
      </x:c>
      <x:c r="O257" s="9" t="str">
        <x:v>PASS</x:v>
      </x:c>
      <x:c r="P257" s="9" t="str">
        <x:v>Post-fix acceptance passed for Responsive layout: 6 exact named test(s) matched and passed on build 1.2.3+156.</x:v>
      </x:c>
      <x:c r="Q257" s="9" t="str"/>
      <x:c r="R257" s="9" t="str">
        <x:v>P0</x:v>
      </x:c>
      <x:c r="S257" s="9" t="str">
        <x:v>2026-08-06</x:v>
      </x:c>
      <x:c r="T257" s="9" t="str">
        <x:v>evidence/flutter-test-machine-final-156.ndjson</x:v>
      </x:c>
      <x:c r="U257" s="9" t="str">
        <x:v>Flutter: test/features/v6/visual_baseline_test.dart :: critical state fits width 360 at 200% text
Flutter: test/features/v6/visual_baseline_test.dart :: critical state fits width 600 at 200% text
Flutter: test/features/v6/visual_baseline_test.dart :: critical state fits width 839 at 200% text
Flutter: test/features/v6/visual_baseline_test.dart :: critical state fits width 840 at 200% text
Flutter: test/features/v6/visual_baseline_test.dart :: critical state fits width 1000 at 200% text
Flutter: test/features/v6/visual_baseline_test.dart :: critical state fits width 1200 at 200% text</x:v>
      </x:c>
    </x:row>
  </x:sheetData>
  <x:conditionalFormatting sqref="O2:O257">
    <x:cfRule type="expression" dxfId="0" priority="1">
      <x:formula>$O2="PASS"</x:formula>
    </x:cfRule>
    <x:cfRule type="expression" dxfId="1" priority="2">
      <x:formula>$O2="RETEST PASS"</x:formula>
    </x:cfRule>
    <x:cfRule type="expression" dxfId="2" priority="3">
      <x:formula>$O2="FAIL"</x:formula>
    </x:cfRule>
    <x:cfRule type="expression" dxfId="3" priority="4">
      <x:formula>$O2="RETEST FAIL"</x:formula>
    </x:cfRule>
    <x:cfRule type="expression" dxfId="4" priority="5">
      <x:formula>$O2="BLOCKED"</x:formula>
    </x:cfRule>
  </x:conditionalFormatting>
  <x:dataValidations count="3">
    <x:dataValidation type="list" sqref="N2:N257">
      <x:formula1>"CODE-BACKED,PARTIAL,NOT FOUND,DEPRECATED"</x:formula1>
    </x:dataValidation>
    <x:dataValidation type="list" sqref="O2:O257">
      <x:formula1>"NOT EXECUTED,IN PROGRESS,PASS,FAIL,BLOCKED,RETEST PASS,RETEST FAIL"</x:formula1>
    </x:dataValidation>
    <x:dataValidation type="list" sqref="R2:R257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7cc145a06b46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5" hidden="0" customWidth="1"/>
    <x:col min="4" max="4" width="16" hidden="0" customWidth="1"/>
    <x:col min="5" max="5" width="20" hidden="0" customWidth="1"/>
    <x:col min="6" max="6" width="16" hidden="0" customWidth="1"/>
    <x:col min="7" max="7" width="48" hidden="0" customWidth="1"/>
    <x:col min="8" max="8" width="12" hidden="0" customWidth="1"/>
    <x:col min="9" max="9" width="42" hidden="0" customWidth="1"/>
    <x:col min="10" max="10" width="58" hidden="0" customWidth="1"/>
    <x:col min="11" max="11" width="12" hidden="0" customWidth="1"/>
    <x:col min="12" max="12" width="38" hidden="0" customWidth="1"/>
  </x:cols>
  <x:sheetData>
    <x:row r="1" ht="32" customHeight="1">
      <x:c r="A1" s="5" t="str">
        <x:v>Story ID</x:v>
      </x:c>
      <x:c r="B1" s="5" t="str">
        <x:v>System</x:v>
      </x:c>
      <x:c r="C1" s="5" t="str">
        <x:v>Feature</x:v>
      </x:c>
      <x:c r="D1" s="5" t="str">
        <x:v>Final Acceptance</x:v>
      </x:c>
      <x:c r="E1" s="5" t="str">
        <x:v>Evidence Type</x:v>
      </x:c>
      <x:c r="F1" s="5" t="str">
        <x:v>Baseline Device</x:v>
      </x:c>
      <x:c r="G1" s="5" t="str">
        <x:v>Selector</x:v>
      </x:c>
      <x:c r="H1" s="5" t="str">
        <x:v>Platform</x:v>
      </x:c>
      <x:c r="I1" s="5" t="str">
        <x:v>Test File</x:v>
      </x:c>
      <x:c r="J1" s="5" t="str">
        <x:v>Exact Test Name</x:v>
      </x:c>
      <x:c r="K1" s="5" t="str">
        <x:v>Result</x:v>
      </x:c>
      <x:c r="L1" s="5" t="str">
        <x:v>Evidence Artifact</x:v>
      </x:c>
    </x:row>
    <x:row r="2">
      <x:c r="A2" s="9" t="str">
        <x:v>AUTH-001</x:v>
      </x:c>
      <x:c r="B2" s="9" t="str">
        <x:v>Session &amp; Account</x:v>
      </x:c>
      <x:c r="C2" s="9" t="str">
        <x:v>Cold start gate</x:v>
      </x:c>
      <x:c r="D2" s="9" t="str">
        <x:v>PASS</x:v>
      </x:c>
      <x:c r="E2" s="9" t="str">
        <x:v>AUTOMATED + DEVICE</x:v>
      </x:c>
      <x:c r="F2" s="9" t="str">
        <x:v>RUN-A-001</x:v>
      </x:c>
      <x:c r="G2" s="9" t="str">
        <x:v>test/core/router/app_router_test.dart::routerProvider keeps one GoRouter across auth and gate updates</x:v>
      </x:c>
      <x:c r="H2" s="9" t="str">
        <x:v>Flutter</x:v>
      </x:c>
      <x:c r="I2" s="9" t="str">
        <x:v>test/core/router/app_router_test.dart</x:v>
      </x:c>
      <x:c r="J2" s="9" t="str">
        <x:v>routerProvider keeps one GoRouter across auth and gate updates</x:v>
      </x:c>
      <x:c r="K2" s="9" t="str">
        <x:v>PASS</x:v>
      </x:c>
      <x:c r="L2" s="9" t="str">
        <x:v>evidence/flutter-test-machine-final-156.ndjson</x:v>
      </x:c>
    </x:row>
    <x:row r="3">
      <x:c r="A3" s="9" t="str">
        <x:v>AUTH-002</x:v>
      </x:c>
      <x:c r="B3" s="9" t="str">
        <x:v>Session &amp; Account</x:v>
      </x:c>
      <x:c r="C3" s="9" t="str">
        <x:v>Resume valid session</x:v>
      </x:c>
      <x:c r="D3" s="9" t="str">
        <x:v>PASS</x:v>
      </x:c>
      <x:c r="E3" s="9" t="str">
        <x:v>AUTOMATED + DEVICE</x:v>
      </x:c>
      <x:c r="F3" s="9" t="str">
        <x:v>RUN-A-006</x:v>
      </x:c>
      <x:c r="G3" s="9" t="str">
        <x:v>test/features/auth/magic_auth_service_test.dart::login saves v3 session and emits auth state</x:v>
      </x:c>
      <x:c r="H3" s="9" t="str">
        <x:v>Flutter</x:v>
      </x:c>
      <x:c r="I3" s="9" t="str">
        <x:v>test/features/auth/magic_auth_service_test.dart</x:v>
      </x:c>
      <x:c r="J3" s="9" t="str">
        <x:v>MagicAuthService login saves v3 session and emits auth state</x:v>
      </x:c>
      <x:c r="K3" s="9" t="str">
        <x:v>PASS</x:v>
      </x:c>
      <x:c r="L3" s="9" t="str">
        <x:v>evidence/flutter-test-machine-final-156.ndjson</x:v>
      </x:c>
    </x:row>
    <x:row r="4">
      <x:c r="A4" s="9" t="str">
        <x:v>AUTH-003</x:v>
      </x:c>
      <x:c r="B4" s="9" t="str">
        <x:v>Session &amp; Account</x:v>
      </x:c>
      <x:c r="C4" s="9" t="str">
        <x:v>Reject stale session</x:v>
      </x:c>
      <x:c r="D4" s="9" t="str">
        <x:v>PASS</x:v>
      </x:c>
      <x:c r="E4" s="9" t="str">
        <x:v>AUTOMATED</x:v>
      </x:c>
      <x:c r="F4" s="9" t="str">
        <x:v>—</x:v>
      </x:c>
      <x:c r="G4" s="9" t="str">
        <x:v>test/core/router/app_router_test.dart::stale gate 401 does not belong to a new session</x:v>
      </x:c>
      <x:c r="H4" s="9" t="str">
        <x:v>Flutter</x:v>
      </x:c>
      <x:c r="I4" s="9" t="str">
        <x:v>test/core/router/app_router_test.dart</x:v>
      </x:c>
      <x:c r="J4" s="9" t="str">
        <x:v>stale gate 401 does not belong to a new session</x:v>
      </x:c>
      <x:c r="K4" s="9" t="str">
        <x:v>PASS</x:v>
      </x:c>
      <x:c r="L4" s="9" t="str">
        <x:v>evidence/flutter-test-machine-final-156.ndjson</x:v>
      </x:c>
    </x:row>
    <x:row r="5">
      <x:c r="A5" s="9" t="str">
        <x:v>AUTH-004</x:v>
      </x:c>
      <x:c r="B5" s="9" t="str">
        <x:v>Session &amp; Account</x:v>
      </x:c>
      <x:c r="C5" s="9" t="str">
        <x:v>Password login</x:v>
      </x:c>
      <x:c r="D5" s="9" t="str">
        <x:v>PASS</x:v>
      </x:c>
      <x:c r="E5" s="9" t="str">
        <x:v>AUTOMATED + DEVICE</x:v>
      </x:c>
      <x:c r="F5" s="9" t="str">
        <x:v>RUN-A-002</x:v>
      </x:c>
      <x:c r="G5" s="9" t="str">
        <x:v>test/features/auth/magic_auth_service_test.dart::login saves v3 session and emits auth state</x:v>
      </x:c>
      <x:c r="H5" s="9" t="str">
        <x:v>Flutter</x:v>
      </x:c>
      <x:c r="I5" s="9" t="str">
        <x:v>test/features/auth/magic_auth_service_test.dart</x:v>
      </x:c>
      <x:c r="J5" s="9" t="str">
        <x:v>MagicAuthService login saves v3 session and emits auth state</x:v>
      </x:c>
      <x:c r="K5" s="9" t="str">
        <x:v>PASS</x:v>
      </x:c>
      <x:c r="L5" s="9" t="str">
        <x:v>evidence/flutter-test-machine-final-156.ndjson</x:v>
      </x:c>
    </x:row>
    <x:row r="6">
      <x:c r="A6" s="9" t="str">
        <x:v>AUTH-005</x:v>
      </x:c>
      <x:c r="B6" s="9" t="str">
        <x:v>Session &amp; Account</x:v>
      </x:c>
      <x:c r="C6" s="9" t="str">
        <x:v>Invalid credentials</x:v>
      </x:c>
      <x:c r="D6" s="9" t="str">
        <x:v>PASS</x:v>
      </x:c>
      <x:c r="E6" s="9" t="str">
        <x:v>AUTOMATED</x:v>
      </x:c>
      <x:c r="F6" s="9" t="str">
        <x:v>—</x:v>
      </x:c>
      <x:c r="G6" s="9" t="str">
        <x:v>test/features/auth/relogin_after_logout_test.dart::login error keeps credentials and permits a retry</x:v>
      </x:c>
      <x:c r="H6" s="9" t="str">
        <x:v>Flutter</x:v>
      </x:c>
      <x:c r="I6" s="9" t="str">
        <x:v>test/features/auth/relogin_after_logout_test.dart</x:v>
      </x:c>
      <x:c r="J6" s="9" t="str">
        <x:v>login error keeps credentials and permits a retry</x:v>
      </x:c>
      <x:c r="K6" s="9" t="str">
        <x:v>PASS</x:v>
      </x:c>
      <x:c r="L6" s="9" t="str">
        <x:v>evidence/flutter-test-machine-final-156.ndjson</x:v>
      </x:c>
    </x:row>
    <x:row r="7">
      <x:c r="A7" s="9" t="str">
        <x:v>AUTH-006</x:v>
      </x:c>
      <x:c r="B7" s="9" t="str">
        <x:v>Session &amp; Account</x:v>
      </x:c>
      <x:c r="C7" s="9" t="str">
        <x:v>Repeated login</x:v>
      </x:c>
      <x:c r="D7" s="9" t="str">
        <x:v>PASS</x:v>
      </x:c>
      <x:c r="E7" s="9" t="str">
        <x:v>AUTOMATED + DEVICE</x:v>
      </x:c>
      <x:c r="F7" s="9" t="str">
        <x:v>RUN-R-002</x:v>
      </x:c>
      <x:c r="G7" s="9" t="str">
        <x:v>test/features/auth/relogin_after_logout_test.dart::magicAuthStateProvider reflects the session after logout→login</x:v>
      </x:c>
      <x:c r="H7" s="9" t="str">
        <x:v>Flutter</x:v>
      </x:c>
      <x:c r="I7" s="9" t="str">
        <x:v>test/features/auth/relogin_after_logout_test.dart</x:v>
      </x:c>
      <x:c r="J7" s="9" t="str">
        <x:v>magicAuthStateProvider reflects the session after logout→login</x:v>
      </x:c>
      <x:c r="K7" s="9" t="str">
        <x:v>PASS</x:v>
      </x:c>
      <x:c r="L7" s="9" t="str">
        <x:v>evidence/flutter-test-machine-final-156.ndjson</x:v>
      </x:c>
    </x:row>
    <x:row r="8">
      <x:c r="A8" s="9" t="str">
        <x:v>AUTH-007</x:v>
      </x:c>
      <x:c r="B8" s="9" t="str">
        <x:v>Session &amp; Account</x:v>
      </x:c>
      <x:c r="C8" s="9" t="str">
        <x:v>Switch account</x:v>
      </x:c>
      <x:c r="D8" s="9" t="str">
        <x:v>PASS</x:v>
      </x:c>
      <x:c r="E8" s="9" t="str">
        <x:v>AUTOMATED + DEVICE</x:v>
      </x:c>
      <x:c r="F8" s="9" t="str">
        <x:v>RUN-R-001</x:v>
      </x:c>
      <x:c r="G8" s="9" t="str">
        <x:v>test/features/v4/workspace_persistence_logout_test.dart::account namespace prevents cross-account restore</x:v>
      </x:c>
      <x:c r="H8" s="9" t="str">
        <x:v>Flutter</x:v>
      </x:c>
      <x:c r="I8" s="9" t="str">
        <x:v>test/features/v4/workspace_persistence_logout_test.dart</x:v>
      </x:c>
      <x:c r="J8" s="9" t="str">
        <x:v>account namespace prevents cross-account restore</x:v>
      </x:c>
      <x:c r="K8" s="9" t="str">
        <x:v>PASS</x:v>
      </x:c>
      <x:c r="L8" s="9" t="str">
        <x:v>evidence/flutter-test-machine-final-156.ndjson</x:v>
      </x:c>
    </x:row>
    <x:row r="9">
      <x:c r="A9" s="9" t="str">
        <x:v>AUTH-008</x:v>
      </x:c>
      <x:c r="B9" s="9" t="str">
        <x:v>Session &amp; Account</x:v>
      </x:c>
      <x:c r="C9" s="9" t="str">
        <x:v>Logout</x:v>
      </x:c>
      <x:c r="D9" s="9" t="str">
        <x:v>PASS</x:v>
      </x:c>
      <x:c r="E9" s="9" t="str">
        <x:v>AUTOMATED + DEVICE</x:v>
      </x:c>
      <x:c r="F9" s="9" t="str">
        <x:v>RUN-A-003</x:v>
      </x:c>
      <x:c r="G9" s="9" t="str">
        <x:v>test/features/v4/workspace_persistence_logout_test.dart::global logout clears two windows and persisted state</x:v>
      </x:c>
      <x:c r="H9" s="9" t="str">
        <x:v>Flutter</x:v>
      </x:c>
      <x:c r="I9" s="9" t="str">
        <x:v>test/features/v4/workspace_persistence_logout_test.dart</x:v>
      </x:c>
      <x:c r="J9" s="9" t="str">
        <x:v>global logout clears two windows and persisted state under 2 seconds</x:v>
      </x:c>
      <x:c r="K9" s="9" t="str">
        <x:v>PASS</x:v>
      </x:c>
      <x:c r="L9" s="9" t="str">
        <x:v>evidence/flutter-test-machine-final-156.ndjson</x:v>
      </x:c>
    </x:row>
    <x:row r="10">
      <x:c r="A10" s="9" t="str">
        <x:v>AUTH-009</x:v>
      </x:c>
      <x:c r="B10" s="9" t="str">
        <x:v>Session &amp; Account</x:v>
      </x:c>
      <x:c r="C10" s="9" t="str">
        <x:v>Logout all devices</x:v>
      </x:c>
      <x:c r="D10" s="9" t="str">
        <x:v>PASS</x:v>
      </x:c>
      <x:c r="E10" s="9" t="str">
        <x:v>AUTOMATED</x:v>
      </x:c>
      <x:c r="F10" s="9" t="str">
        <x:v>—</x:v>
      </x:c>
      <x:c r="G10" s="9" t="str">
        <x:v>server/src/auth/session.service.spec.ts::revokes all user sessions</x:v>
      </x:c>
      <x:c r="H10" s="9" t="str">
        <x:v>Server</x:v>
      </x:c>
      <x:c r="I10" s="9" t="str">
        <x:v>server/src/auth/session.service.spec.ts</x:v>
      </x:c>
      <x:c r="J10" s="9" t="str">
        <x:v>SessionService revokes all user sessions</x:v>
      </x:c>
      <x:c r="K10" s="9" t="str">
        <x:v>PASS</x:v>
      </x:c>
      <x:c r="L10" s="9" t="str">
        <x:v>evidence/server-test-json-final-156.json</x:v>
      </x:c>
    </x:row>
    <x:row r="11">
      <x:c r="A11" s="9" t="str">
        <x:v>AUTH-010</x:v>
      </x:c>
      <x:c r="B11" s="9" t="str">
        <x:v>Session &amp; Account</x:v>
      </x:c>
      <x:c r="C11" s="9" t="str">
        <x:v>Password signup</x:v>
      </x:c>
      <x:c r="D11" s="9" t="str">
        <x:v>PASS</x:v>
      </x:c>
      <x:c r="E11" s="9" t="str">
        <x:v>AUTOMATED</x:v>
      </x:c>
      <x:c r="F11" s="9" t="str">
        <x:v>—</x:v>
      </x:c>
      <x:c r="G11" s="9" t="str">
        <x:v>server/src/auth/auth.service.spec.ts::creates users with client role and normalized email</x:v>
      </x:c>
      <x:c r="H11" s="9" t="str">
        <x:v>Server</x:v>
      </x:c>
      <x:c r="I11" s="9" t="str">
        <x:v>server/src/auth/auth.service.spec.ts</x:v>
      </x:c>
      <x:c r="J11" s="9" t="str">
        <x:v>AuthService creates users with client role and normalized email</x:v>
      </x:c>
      <x:c r="K11" s="9" t="str">
        <x:v>PASS</x:v>
      </x:c>
      <x:c r="L11" s="9" t="str">
        <x:v>evidence/server-test-json-final-156.json</x:v>
      </x:c>
    </x:row>
    <x:row r="12">
      <x:c r="A12" s="9" t="str">
        <x:v>AUTH-011</x:v>
      </x:c>
      <x:c r="B12" s="9" t="str">
        <x:v>Session &amp; Account</x:v>
      </x:c>
      <x:c r="C12" s="9" t="str">
        <x:v>Signup OTP verify</x:v>
      </x:c>
      <x:c r="D12" s="9" t="str">
        <x:v>PASS</x:v>
      </x:c>
      <x:c r="E12" s="9" t="str">
        <x:v>AUTOMATED</x:v>
      </x:c>
      <x:c r="F12" s="9" t="str">
        <x:v>—</x:v>
      </x:c>
      <x:c r="G12" s="9" t="str">
        <x:v>server/src/auth/auth.service.spec.ts::verifies a valid OTP and marks email verified</x:v>
      </x:c>
      <x:c r="H12" s="9" t="str">
        <x:v>Server</x:v>
      </x:c>
      <x:c r="I12" s="9" t="str">
        <x:v>server/src/auth/auth.service.spec.ts</x:v>
      </x:c>
      <x:c r="J12" s="9" t="str">
        <x:v>AuthService verifies a valid OTP and marks email verified</x:v>
      </x:c>
      <x:c r="K12" s="9" t="str">
        <x:v>PASS</x:v>
      </x:c>
      <x:c r="L12" s="9" t="str">
        <x:v>evidence/server-test-json-final-156.json</x:v>
      </x:c>
    </x:row>
    <x:row r="13">
      <x:c r="A13" s="9" t="str">
        <x:v>AUTH-012</x:v>
      </x:c>
      <x:c r="B13" s="9" t="str">
        <x:v>Session &amp; Account</x:v>
      </x:c>
      <x:c r="C13" s="9" t="str">
        <x:v>Resend signup OTP</x:v>
      </x:c>
      <x:c r="D13" s="9" t="str">
        <x:v>PASS</x:v>
      </x:c>
      <x:c r="E13" s="9" t="str">
        <x:v>AUTOMATED</x:v>
      </x:c>
      <x:c r="F13" s="9" t="str">
        <x:v>—</x:v>
      </x:c>
      <x:c r="G13" s="9" t="str">
        <x:v>server/src/auth/auth.service.spec.ts::rate limits OTP challenges</x:v>
      </x:c>
      <x:c r="H13" s="9" t="str">
        <x:v>Server</x:v>
      </x:c>
      <x:c r="I13" s="9" t="str">
        <x:v>server/src/auth/auth.service.spec.ts</x:v>
      </x:c>
      <x:c r="J13" s="9" t="str">
        <x:v>AuthService rate limits OTP challenges</x:v>
      </x:c>
      <x:c r="K13" s="9" t="str">
        <x:v>PASS</x:v>
      </x:c>
      <x:c r="L13" s="9" t="str">
        <x:v>evidence/server-test-json-final-156.json</x:v>
      </x:c>
    </x:row>
    <x:row r="14">
      <x:c r="A14" s="9" t="str">
        <x:v>AUTH-013</x:v>
      </x:c>
      <x:c r="B14" s="9" t="str">
        <x:v>Session &amp; Account</x:v>
      </x:c>
      <x:c r="C14" s="9" t="str">
        <x:v>Email OTP login</x:v>
      </x:c>
      <x:c r="D14" s="9" t="str">
        <x:v>PASS</x:v>
      </x:c>
      <x:c r="E14" s="9" t="str">
        <x:v>AUTOMATED</x:v>
      </x:c>
      <x:c r="F14" s="9" t="str">
        <x:v>—</x:v>
      </x:c>
      <x:c r="G14" s="9" t="str">
        <x:v>test/features/auth/magic_auth_service_test.dart::email OTP verification saves v3 session</x:v>
      </x:c>
      <x:c r="H14" s="9" t="str">
        <x:v>Flutter</x:v>
      </x:c>
      <x:c r="I14" s="9" t="str">
        <x:v>test/features/auth/magic_auth_service_test.dart</x:v>
      </x:c>
      <x:c r="J14" s="9" t="str">
        <x:v>MagicAuthService email OTP verification saves v3 session when backend returns tokens</x:v>
      </x:c>
      <x:c r="K14" s="9" t="str">
        <x:v>PASS</x:v>
      </x:c>
      <x:c r="L14" s="9" t="str">
        <x:v>evidence/flutter-test-machine-final-156.ndjson</x:v>
      </x:c>
    </x:row>
    <x:row r="15">
      <x:c r="A15" s="9" t="str">
        <x:v>AUTH-014</x:v>
      </x:c>
      <x:c r="B15" s="9" t="str">
        <x:v>Session &amp; Account</x:v>
      </x:c>
      <x:c r="C15" s="9" t="str">
        <x:v>MFA challenge</x:v>
      </x:c>
      <x:c r="D15" s="9" t="str">
        <x:v>PASS</x:v>
      </x:c>
      <x:c r="E15" s="9" t="str">
        <x:v>AUTOMATED</x:v>
      </x:c>
      <x:c r="F15" s="9" t="str">
        <x:v>—</x:v>
      </x:c>
      <x:c r="G15" s="9" t="str">
        <x:v>server/src/auth/auth.service.spec.ts::requires email OTP without issuing a session when 2FA is enabled</x:v>
      </x:c>
      <x:c r="H15" s="9" t="str">
        <x:v>Server</x:v>
      </x:c>
      <x:c r="I15" s="9" t="str">
        <x:v>server/src/auth/auth.service.spec.ts</x:v>
      </x:c>
      <x:c r="J15" s="9" t="str">
        <x:v>AuthService requires email OTP without issuing a session when 2FA is enabled</x:v>
      </x:c>
      <x:c r="K15" s="9" t="str">
        <x:v>PASS</x:v>
      </x:c>
      <x:c r="L15" s="9" t="str">
        <x:v>evidence/server-test-json-final-156.json</x:v>
      </x:c>
    </x:row>
    <x:row r="16">
      <x:c r="A16" s="9" t="str">
        <x:v>AUTH-015</x:v>
      </x:c>
      <x:c r="B16" s="9" t="str">
        <x:v>Session &amp; Account</x:v>
      </x:c>
      <x:c r="C16" s="9" t="str">
        <x:v>Request password reset</x:v>
      </x:c>
      <x:c r="D16" s="9" t="str">
        <x:v>PASS</x:v>
      </x:c>
      <x:c r="E16" s="9" t="str">
        <x:v>AUTOMATED</x:v>
      </x:c>
      <x:c r="F16" s="9" t="str">
        <x:v>—</x:v>
      </x:c>
      <x:c r="G16" s="9" t="str">
        <x:v>server/src/auth/auth.service.spec.ts::accepts password reset request without leaking unknown email</x:v>
      </x:c>
      <x:c r="H16" s="9" t="str">
        <x:v>Server</x:v>
      </x:c>
      <x:c r="I16" s="9" t="str">
        <x:v>server/src/auth/auth.service.spec.ts</x:v>
      </x:c>
      <x:c r="J16" s="9" t="str">
        <x:v>AuthService accepts password reset request without leaking unknown email</x:v>
      </x:c>
      <x:c r="K16" s="9" t="str">
        <x:v>PASS</x:v>
      </x:c>
      <x:c r="L16" s="9" t="str">
        <x:v>evidence/server-test-json-final-156.json</x:v>
      </x:c>
    </x:row>
    <x:row r="17">
      <x:c r="A17" s="9" t="str">
        <x:v>AUTH-016</x:v>
      </x:c>
      <x:c r="B17" s="9" t="str">
        <x:v>Session &amp; Account</x:v>
      </x:c>
      <x:c r="C17" s="9" t="str">
        <x:v>Confirm password reset</x:v>
      </x:c>
      <x:c r="D17" s="9" t="str">
        <x:v>PASS</x:v>
      </x:c>
      <x:c r="E17" s="9" t="str">
        <x:v>AUTOMATED</x:v>
      </x:c>
      <x:c r="F17" s="9" t="str">
        <x:v>—</x:v>
      </x:c>
      <x:c r="G17" s="9" t="str">
        <x:v>server/src/auth/auth.service.spec.ts::resets password and revokes existing sessions</x:v>
      </x:c>
      <x:c r="H17" s="9" t="str">
        <x:v>Server</x:v>
      </x:c>
      <x:c r="I17" s="9" t="str">
        <x:v>server/src/auth/auth.service.spec.ts</x:v>
      </x:c>
      <x:c r="J17" s="9" t="str">
        <x:v>AuthService resets password and revokes existing sessions</x:v>
      </x:c>
      <x:c r="K17" s="9" t="str">
        <x:v>PASS</x:v>
      </x:c>
      <x:c r="L17" s="9" t="str">
        <x:v>evidence/server-test-json-final-156.json</x:v>
      </x:c>
    </x:row>
    <x:row r="18">
      <x:c r="A18" s="9" t="str">
        <x:v>AUTH-017</x:v>
      </x:c>
      <x:c r="B18" s="9" t="str">
        <x:v>Session &amp; Account</x:v>
      </x:c>
      <x:c r="C18" s="9" t="str">
        <x:v>Set password</x:v>
      </x:c>
      <x:c r="D18" s="9" t="str">
        <x:v>PASS</x:v>
      </x:c>
      <x:c r="E18" s="9" t="str">
        <x:v>AUTOMATED</x:v>
      </x:c>
      <x:c r="F18" s="9" t="str">
        <x:v>—</x:v>
      </x:c>
      <x:c r="G18" s="9" t="str">
        <x:v>test/features/auth/magic_auth_service_test.dart::sets password through authenticated v3 endpoint</x:v>
      </x:c>
      <x:c r="H18" s="9" t="str">
        <x:v>Flutter</x:v>
      </x:c>
      <x:c r="I18" s="9" t="str">
        <x:v>test/features/auth/magic_auth_service_test.dart</x:v>
      </x:c>
      <x:c r="J18" s="9" t="str">
        <x:v>MagicAuthService sets password through authenticated v3 endpoint</x:v>
      </x:c>
      <x:c r="K18" s="9" t="str">
        <x:v>PASS</x:v>
      </x:c>
      <x:c r="L18" s="9" t="str">
        <x:v>evidence/flutter-test-machine-final-156.ndjson</x:v>
      </x:c>
    </x:row>
    <x:row r="19">
      <x:c r="A19" s="9" t="str">
        <x:v>AUTH-018</x:v>
      </x:c>
      <x:c r="B19" s="9" t="str">
        <x:v>Session &amp; Account</x:v>
      </x:c>
      <x:c r="C19" s="9" t="str">
        <x:v>Auth methods</x:v>
      </x:c>
      <x:c r="D19" s="9" t="str">
        <x:v>PASS</x:v>
      </x:c>
      <x:c r="E19" s="9" t="str">
        <x:v>AUTOMATED</x:v>
      </x:c>
      <x:c r="F19" s="9" t="str">
        <x:v>—</x:v>
      </x:c>
      <x:c r="G19" s="9" t="str">
        <x:v>test/features/auth/magic_auth_service_test.dart::loads auth identities through authenticated v3 endpoint</x:v>
      </x:c>
      <x:c r="H19" s="9" t="str">
        <x:v>Flutter</x:v>
      </x:c>
      <x:c r="I19" s="9" t="str">
        <x:v>test/features/auth/magic_auth_service_test.dart</x:v>
      </x:c>
      <x:c r="J19" s="9" t="str">
        <x:v>MagicAuthService loads auth identities through authenticated v3 endpoint</x:v>
      </x:c>
      <x:c r="K19" s="9" t="str">
        <x:v>PASS</x:v>
      </x:c>
      <x:c r="L19" s="9" t="str">
        <x:v>evidence/flutter-test-machine-final-156.ndjson</x:v>
      </x:c>
    </x:row>
    <x:row r="20">
      <x:c r="A20" s="9" t="str">
        <x:v>AUTH-019</x:v>
      </x:c>
      <x:c r="B20" s="9" t="str">
        <x:v>Session &amp; Account</x:v>
      </x:c>
      <x:c r="C20" s="9" t="str">
        <x:v>Google identity (disabled)</x:v>
      </x:c>
      <x:c r="D20" s="9" t="str">
        <x:v>PASS</x:v>
      </x:c>
      <x:c r="E20" s="9" t="str">
        <x:v>AUTOMATED</x:v>
      </x:c>
      <x:c r="F20" s="9" t="str">
        <x:v>—</x:v>
      </x:c>
      <x:c r="G20" s="9" t="str">
        <x:v>server/src/auth/auth.controller.spec.ts::keeps every Google sign-in and link endpoint explicitly disabled</x:v>
      </x:c>
      <x:c r="H20" s="9" t="str">
        <x:v>Server</x:v>
      </x:c>
      <x:c r="I20" s="9" t="str">
        <x:v>server/src/auth/auth.controller.spec.ts</x:v>
      </x:c>
      <x:c r="J20" s="9" t="str">
        <x:v>AuthController keeps every Google sign-in and link endpoint explicitly disabled</x:v>
      </x:c>
      <x:c r="K20" s="9" t="str">
        <x:v>PASS</x:v>
      </x:c>
      <x:c r="L20" s="9" t="str">
        <x:v>evidence/server-test-json-final-156.json</x:v>
      </x:c>
    </x:row>
    <x:row r="21">
      <x:c r="A21" s="9" t="str">
        <x:v>AUTH-020</x:v>
      </x:c>
      <x:c r="B21" s="9" t="str">
        <x:v>Session &amp; Account</x:v>
      </x:c>
      <x:c r="C21" s="9" t="str">
        <x:v>Onboarding</x:v>
      </x:c>
      <x:c r="D21" s="9" t="str">
        <x:v>PASS</x:v>
      </x:c>
      <x:c r="E21" s="9" t="str">
        <x:v>AUTOMATED</x:v>
      </x:c>
      <x:c r="F21" s="9" t="str">
        <x:v>—</x:v>
      </x:c>
      <x:c r="G21" s="9" t="str">
        <x:v>test/features/auth/magic_release_gate_service_test.dart::completes onboarding with trimmed required profile fields</x:v>
      </x:c>
      <x:c r="H21" s="9" t="str">
        <x:v>Flutter</x:v>
      </x:c>
      <x:c r="I21" s="9" t="str">
        <x:v>test/features/auth/magic_release_gate_service_test.dart</x:v>
      </x:c>
      <x:c r="J21" s="9" t="str">
        <x:v>MagicReleaseGateService completes onboarding with trimmed required profile fields</x:v>
      </x:c>
      <x:c r="K21" s="9" t="str">
        <x:v>PASS</x:v>
      </x:c>
      <x:c r="L21" s="9" t="str">
        <x:v>evidence/flutter-test-machine-final-156.ndjson</x:v>
      </x:c>
    </x:row>
    <x:row r="22">
      <x:c r="A22" s="9" t="str">
        <x:v>AUTH-021</x:v>
      </x:c>
      <x:c r="B22" s="9" t="str">
        <x:v>Session &amp; Account</x:v>
      </x:c>
      <x:c r="C22" s="9" t="str">
        <x:v>Legal gate</x:v>
      </x:c>
      <x:c r="D22" s="9" t="str">
        <x:v>PASS</x:v>
      </x:c>
      <x:c r="E22" s="9" t="str">
        <x:v>AUTOMATED</x:v>
      </x:c>
      <x:c r="F22" s="9" t="str">
        <x:v>—</x:v>
      </x:c>
      <x:c r="G22" s="9" t="str">
        <x:v>server/src/legal/legal.service.spec.ts::accepts the exact current document set and records audit</x:v>
      </x:c>
      <x:c r="H22" s="9" t="str">
        <x:v>Server</x:v>
      </x:c>
      <x:c r="I22" s="9" t="str">
        <x:v>server/src/legal/legal.service.spec.ts</x:v>
      </x:c>
      <x:c r="J22" s="9" t="str">
        <x:v>LegalService accepts the exact current document set and records audit without raw evidence</x:v>
      </x:c>
      <x:c r="K22" s="9" t="str">
        <x:v>PASS</x:v>
      </x:c>
      <x:c r="L22" s="9" t="str">
        <x:v>evidence/server-test-json-final-156.json</x:v>
      </x:c>
    </x:row>
    <x:row r="23">
      <x:c r="A23" s="9" t="str">
        <x:v>AUTH-022</x:v>
      </x:c>
      <x:c r="B23" s="9" t="str">
        <x:v>Session &amp; Account</x:v>
      </x:c>
      <x:c r="C23" s="9" t="str">
        <x:v>Legal document view</x:v>
      </x:c>
      <x:c r="D23" s="9" t="str">
        <x:v>PASS</x:v>
      </x:c>
      <x:c r="E23" s="9" t="str">
        <x:v>AUTOMATED</x:v>
      </x:c>
      <x:c r="F23" s="9" t="str">
        <x:v>—</x:v>
      </x:c>
      <x:c r="G23" s="9" t="str">
        <x:v>test/features/auth/magic_release_gate_service_test.dart::loads current legal documents and accepts their exact ids</x:v>
      </x:c>
      <x:c r="H23" s="9" t="str">
        <x:v>Flutter</x:v>
      </x:c>
      <x:c r="I23" s="9" t="str">
        <x:v>test/features/auth/magic_release_gate_service_test.dart</x:v>
      </x:c>
      <x:c r="J23" s="9" t="str">
        <x:v>MagicReleaseGateService loads current legal documents and accepts their exact ids</x:v>
      </x:c>
      <x:c r="K23" s="9" t="str">
        <x:v>PASS</x:v>
      </x:c>
      <x:c r="L23" s="9" t="str">
        <x:v>evidence/flutter-test-machine-final-156.ndjson</x:v>
      </x:c>
    </x:row>
    <x:row r="24">
      <x:c r="A24" s="9" t="str">
        <x:v>AUTH-023</x:v>
      </x:c>
      <x:c r="B24" s="9" t="str">
        <x:v>Session &amp; Account</x:v>
      </x:c>
      <x:c r="C24" s="9" t="str">
        <x:v>Profile edit</x:v>
      </x:c>
      <x:c r="D24" s="9" t="str">
        <x:v>PASS</x:v>
      </x:c>
      <x:c r="E24" s="9" t="str">
        <x:v>AUTOMATED</x:v>
      </x:c>
      <x:c r="F24" s="9" t="str">
        <x:v>—</x:v>
      </x:c>
      <x:c r="G24" s="9" t="str">
        <x:v>test/features/auth/magic_auth_service_test.dart::updates only allowlisted current profile fields</x:v>
      </x:c>
      <x:c r="H24" s="9" t="str">
        <x:v>Flutter</x:v>
      </x:c>
      <x:c r="I24" s="9" t="str">
        <x:v>test/features/auth/magic_auth_service_test.dart</x:v>
      </x:c>
      <x:c r="J24" s="9" t="str">
        <x:v>MagicAuthService updates only allowlisted current profile fields</x:v>
      </x:c>
      <x:c r="K24" s="9" t="str">
        <x:v>PASS</x:v>
      </x:c>
      <x:c r="L24" s="9" t="str">
        <x:v>evidence/flutter-test-machine-final-156.ndjson</x:v>
      </x:c>
    </x:row>
    <x:row r="25">
      <x:c r="A25" s="9" t="str">
        <x:v>AUTH-024</x:v>
      </x:c>
      <x:c r="B25" s="9" t="str">
        <x:v>Session &amp; Account</x:v>
      </x:c>
      <x:c r="C25" s="9" t="str">
        <x:v>MFA toggle</x:v>
      </x:c>
      <x:c r="D25" s="9" t="str">
        <x:v>PASS</x:v>
      </x:c>
      <x:c r="E25" s="9" t="str">
        <x:v>AUTOMATED</x:v>
      </x:c>
      <x:c r="F25" s="9" t="str">
        <x:v>—</x:v>
      </x:c>
      <x:c r="G25" s="9" t="str">
        <x:v>test/features/auth/magic_auth_service_test.dart::loads and updates email OTP MFA through the current profile</x:v>
      </x:c>
      <x:c r="H25" s="9" t="str">
        <x:v>Flutter</x:v>
      </x:c>
      <x:c r="I25" s="9" t="str">
        <x:v>test/features/auth/magic_auth_service_test.dart</x:v>
      </x:c>
      <x:c r="J25" s="9" t="str">
        <x:v>MagicAuthService loads and updates email OTP MFA through the current profile</x:v>
      </x:c>
      <x:c r="K25" s="9" t="str">
        <x:v>PASS</x:v>
      </x:c>
      <x:c r="L25" s="9" t="str">
        <x:v>evidence/flutter-test-machine-final-156.ndjson</x:v>
      </x:c>
    </x:row>
    <x:row r="26">
      <x:c r="A26" s="9" t="str">
        <x:v>AUTH-025</x:v>
      </x:c>
      <x:c r="B26" s="9" t="str">
        <x:v>Session &amp; Account</x:v>
      </x:c>
      <x:c r="C26" s="9" t="str">
        <x:v>Account deletion request</x:v>
      </x:c>
      <x:c r="D26" s="9" t="str">
        <x:v>PASS</x:v>
      </x:c>
      <x:c r="E26" s="9" t="str">
        <x:v>AUTOMATED</x:v>
      </x:c>
      <x:c r="F26" s="9" t="str">
        <x:v>—</x:v>
      </x:c>
      <x:c r="G26" s="9" t="str">
        <x:v>test/features/auth/magic_release_gate_service_test.dart::requests account deletion with required acknowledgement</x:v>
      </x:c>
      <x:c r="H26" s="9" t="str">
        <x:v>Flutter</x:v>
      </x:c>
      <x:c r="I26" s="9" t="str">
        <x:v>test/features/auth/magic_release_gate_service_test.dart</x:v>
      </x:c>
      <x:c r="J26" s="9" t="str">
        <x:v>MagicReleaseGateService requests account deletion with required acknowledgement</x:v>
      </x:c>
      <x:c r="K26" s="9" t="str">
        <x:v>PASS</x:v>
      </x:c>
      <x:c r="L26" s="9" t="str">
        <x:v>evidence/flutter-test-machine-final-156.ndjson</x:v>
      </x:c>
    </x:row>
    <x:row r="27">
      <x:c r="A27" s="9" t="str">
        <x:v>AUTH-026</x:v>
      </x:c>
      <x:c r="B27" s="9" t="str">
        <x:v>Session &amp; Account</x:v>
      </x:c>
      <x:c r="C27" s="9" t="str">
        <x:v>Account deletion status</x:v>
      </x:c>
      <x:c r="D27" s="9" t="str">
        <x:v>PASS</x:v>
      </x:c>
      <x:c r="E27" s="9" t="str">
        <x:v>AUTOMATED</x:v>
      </x:c>
      <x:c r="F27" s="9" t="str">
        <x:v>—</x:v>
      </x:c>
      <x:c r="G27" s="9" t="str">
        <x:v>test/features/auth/magic_release_gate_service_test.dart::maps pending deletion request from v3 API</x:v>
      </x:c>
      <x:c r="H27" s="9" t="str">
        <x:v>Flutter</x:v>
      </x:c>
      <x:c r="I27" s="9" t="str">
        <x:v>test/features/auth/magic_release_gate_service_test.dart</x:v>
      </x:c>
      <x:c r="J27" s="9" t="str">
        <x:v>MagicReleaseGateService maps pending deletion request from v3 API</x:v>
      </x:c>
      <x:c r="K27" s="9" t="str">
        <x:v>PASS</x:v>
      </x:c>
      <x:c r="L27" s="9" t="str">
        <x:v>evidence/flutter-test-machine-final-156.ndjson</x:v>
      </x:c>
    </x:row>
    <x:row r="28">
      <x:c r="A28" s="9" t="str">
        <x:v>NAV-001</x:v>
      </x:c>
      <x:c r="B28" s="9" t="str">
        <x:v>App Experience</x:v>
      </x:c>
      <x:c r="C28" s="9" t="str">
        <x:v>Role landing</x:v>
      </x:c>
      <x:c r="D28" s="9" t="str">
        <x:v>PASS</x:v>
      </x:c>
      <x:c r="E28" s="9" t="str">
        <x:v>AUTOMATED + DEVICE</x:v>
      </x:c>
      <x:c r="F28" s="9" t="str">
        <x:v>RUN-A-007</x:v>
      </x:c>
      <x:c r="G28" s="9" t="str">
        <x:v>test/features/rbac_nav_matrix_test.dart::crmVisibleTabs — per-role destination matrix</x:v>
      </x:c>
      <x:c r="H28" s="9" t="str">
        <x:v>Flutter</x:v>
      </x:c>
      <x:c r="I28" s="9" t="str">
        <x:v>test/features/rbac_nav_matrix_test.dart</x:v>
      </x:c>
      <x:c r="J28" s="9" t="str">
        <x:v>crmVisibleTabs — per-role destination matrix client has no CRM shell destinations</x:v>
      </x:c>
      <x:c r="K28" s="9" t="str">
        <x:v>PASS</x:v>
      </x:c>
      <x:c r="L28" s="9" t="str">
        <x:v>evidence/flutter-test-machine-final-156.ndjson</x:v>
      </x:c>
    </x:row>
    <x:row r="29">
      <x:c r="A29" s="9" t="str">
        <x:v>NAV-002</x:v>
      </x:c>
      <x:c r="B29" s="9" t="str">
        <x:v>App Experience</x:v>
      </x:c>
      <x:c r="C29" s="9" t="str">
        <x:v>Client navigation</x:v>
      </x:c>
      <x:c r="D29" s="9" t="str">
        <x:v>PASS</x:v>
      </x:c>
      <x:c r="E29" s="9" t="str">
        <x:v>AUTOMATED + DEVICE</x:v>
      </x:c>
      <x:c r="F29" s="9" t="str">
        <x:v>RUN-A-008</x:v>
      </x:c>
      <x:c r="G29" s="9" t="str">
        <x:v>test/features/rbac_nav_matrix_test.dart::client has no CRM shell destinations</x:v>
      </x:c>
      <x:c r="H29" s="9" t="str">
        <x:v>Flutter</x:v>
      </x:c>
      <x:c r="I29" s="9" t="str">
        <x:v>test/features/rbac_nav_matrix_test.dart</x:v>
      </x:c>
      <x:c r="J29" s="9" t="str">
        <x:v>crmVisibleTabs — per-role destination matrix client has no CRM shell destinations</x:v>
      </x:c>
      <x:c r="K29" s="9" t="str">
        <x:v>PASS</x:v>
      </x:c>
      <x:c r="L29" s="9" t="str">
        <x:v>evidence/flutter-test-machine-final-156.ndjson</x:v>
      </x:c>
    </x:row>
    <x:row r="30">
      <x:c r="A30" s="9" t="str">
        <x:v>NAV-003</x:v>
      </x:c>
      <x:c r="B30" s="9" t="str">
        <x:v>App Experience</x:v>
      </x:c>
      <x:c r="C30" s="9" t="str">
        <x:v>Teacher navigation</x:v>
      </x:c>
      <x:c r="D30" s="9" t="str">
        <x:v>PASS</x:v>
      </x:c>
      <x:c r="E30" s="9" t="str">
        <x:v>AUTOMATED + DEVICE</x:v>
      </x:c>
      <x:c r="F30" s="9" t="str">
        <x:v>RUN-R-006</x:v>
      </x:c>
      <x:c r="G30" s="9" t="str">
        <x:v>test/features/v4/teacher_schedule_read_only_test.dart::teacher uses canonical assigned-only Day/Week read-only surface</x:v>
      </x:c>
      <x:c r="H30" s="9" t="str">
        <x:v>Flutter</x:v>
      </x:c>
      <x:c r="I30" s="9" t="str">
        <x:v>test/features/v4/teacher_schedule_read_only_test.dart</x:v>
      </x:c>
      <x:c r="J30" s="9" t="str">
        <x:v>teacher uses canonical assigned-only Day/Week read-only surface</x:v>
      </x:c>
      <x:c r="K30" s="9" t="str">
        <x:v>PASS</x:v>
      </x:c>
      <x:c r="L30" s="9" t="str">
        <x:v>evidence/flutter-test-machine-final-156.ndjson</x:v>
      </x:c>
    </x:row>
    <x:row r="31">
      <x:c r="A31" s="9" t="str">
        <x:v>NAV-004</x:v>
      </x:c>
      <x:c r="B31" s="9" t="str">
        <x:v>App Experience</x:v>
      </x:c>
      <x:c r="C31" s="9" t="str">
        <x:v>Admin navigation</x:v>
      </x:c>
      <x:c r="D31" s="9" t="str">
        <x:v>PASS</x:v>
      </x:c>
      <x:c r="E31" s="9" t="str">
        <x:v>AUTOMATED + DEVICE</x:v>
      </x:c>
      <x:c r="F31" s="9" t="str">
        <x:v>RUN-A-034</x:v>
      </x:c>
      <x:c r="G31" s="9" t="str">
        <x:v>test/features/messenger/tasks_navigation_test.dart::admin never mounts or requests the Tasks destination</x:v>
      </x:c>
      <x:c r="H31" s="9" t="str">
        <x:v>Flutter</x:v>
      </x:c>
      <x:c r="I31" s="9" t="str">
        <x:v>test/features/messenger/tasks_navigation_test.dart</x:v>
      </x:c>
      <x:c r="J31" s="9" t="str">
        <x:v>admin never mounts or requests the Tasks destination</x:v>
      </x:c>
      <x:c r="K31" s="9" t="str">
        <x:v>PASS</x:v>
      </x:c>
      <x:c r="L31" s="9" t="str">
        <x:v>evidence/flutter-test-machine-final-156.ndjson</x:v>
      </x:c>
    </x:row>
    <x:row r="32">
      <x:c r="A32" s="9" t="str">
        <x:v>NAV-005</x:v>
      </x:c>
      <x:c r="B32" s="9" t="str">
        <x:v>App Experience</x:v>
      </x:c>
      <x:c r="C32" s="9" t="str">
        <x:v>Manager navigation</x:v>
      </x:c>
      <x:c r="D32" s="9" t="str">
        <x:v>PASS</x:v>
      </x:c>
      <x:c r="E32" s="9" t="str">
        <x:v>AUTOMATED + DEVICE</x:v>
      </x:c>
      <x:c r="F32" s="9" t="str">
        <x:v>RUN-R-008</x:v>
      </x:c>
      <x:c r="G32" s="9" t="str">
        <x:v>test/features/messenger/tasks_navigation_test.dart::manager can open Tasks from the mobile overflow navigation</x:v>
      </x:c>
      <x:c r="H32" s="9" t="str">
        <x:v>Flutter</x:v>
      </x:c>
      <x:c r="I32" s="9" t="str">
        <x:v>test/features/messenger/tasks_navigation_test.dart</x:v>
      </x:c>
      <x:c r="J32" s="9" t="str">
        <x:v>manager can open Tasks from the mobile overflow navigation</x:v>
      </x:c>
      <x:c r="K32" s="9" t="str">
        <x:v>PASS</x:v>
      </x:c>
      <x:c r="L32" s="9" t="str">
        <x:v>evidence/flutter-test-machine-final-156.ndjson</x:v>
      </x:c>
    </x:row>
    <x:row r="33">
      <x:c r="A33" s="9" t="str">
        <x:v>NAV-006</x:v>
      </x:c>
      <x:c r="B33" s="9" t="str">
        <x:v>App Experience</x:v>
      </x:c>
      <x:c r="C33" s="9" t="str">
        <x:v>Director navigation</x:v>
      </x:c>
      <x:c r="D33" s="9" t="str">
        <x:v>PASS</x:v>
      </x:c>
      <x:c r="E33" s="9" t="str">
        <x:v>AUTOMATED + DEVICE</x:v>
      </x:c>
      <x:c r="F33" s="9" t="str">
        <x:v>RUN-R-011</x:v>
      </x:c>
      <x:c r="G33" s="9" t="str">
        <x:v>test/features/messenger/tasks_navigation_test.dart::director can open Analytics from compact navigation</x:v>
      </x:c>
      <x:c r="H33" s="9" t="str">
        <x:v>Flutter</x:v>
      </x:c>
      <x:c r="I33" s="9" t="str">
        <x:v>test/features/messenger/tasks_navigation_test.dart</x:v>
      </x:c>
      <x:c r="J33" s="9" t="str">
        <x:v>director can open Analytics from compact navigation</x:v>
      </x:c>
      <x:c r="K33" s="9" t="str">
        <x:v>PASS</x:v>
      </x:c>
      <x:c r="L33" s="9" t="str">
        <x:v>evidence/flutter-test-machine-final-156.ndjson</x:v>
      </x:c>
    </x:row>
    <x:row r="34">
      <x:c r="A34" s="9" t="str">
        <x:v>NAV-007</x:v>
      </x:c>
      <x:c r="B34" s="9" t="str">
        <x:v>App Experience</x:v>
      </x:c>
      <x:c r="C34" s="9" t="str">
        <x:v>Forbidden deep link</x:v>
      </x:c>
      <x:c r="D34" s="9" t="str">
        <x:v>PASS</x:v>
      </x:c>
      <x:c r="E34" s="9" t="str">
        <x:v>AUTOMATED</x:v>
      </x:c>
      <x:c r="F34" s="9" t="str">
        <x:v>—</x:v>
      </x:c>
      <x:c r="G34" s="9" t="str">
        <x:v>test/features/v4/entity_link_registry_test.dart::forbidden/deleted/archived/unknown states terminate safely</x:v>
      </x:c>
      <x:c r="H34" s="9" t="str">
        <x:v>Flutter</x:v>
      </x:c>
      <x:c r="I34" s="9" t="str">
        <x:v>test/features/v4/entity_link_registry_test.dart</x:v>
      </x:c>
      <x:c r="J34" s="9" t="str">
        <x:v>forbidden/deleted/archived/unknown states terminate safely</x:v>
      </x:c>
      <x:c r="K34" s="9" t="str">
        <x:v>PASS</x:v>
      </x:c>
      <x:c r="L34" s="9" t="str">
        <x:v>evidence/flutter-test-machine-final-156.ndjson</x:v>
      </x:c>
    </x:row>
    <x:row r="35">
      <x:c r="A35" s="9" t="str">
        <x:v>NAV-008</x:v>
      </x:c>
      <x:c r="B35" s="9" t="str">
        <x:v>App Experience</x:v>
      </x:c>
      <x:c r="C35" s="9" t="str">
        <x:v>Typed entity link</x:v>
      </x:c>
      <x:c r="D35" s="9" t="str">
        <x:v>PASS</x:v>
      </x:c>
      <x:c r="E35" s="9" t="str">
        <x:v>AUTOMATED</x:v>
      </x:c>
      <x:c r="F35" s="9" t="str">
        <x:v>—</x:v>
      </x:c>
      <x:c r="G35" s="9" t="str">
        <x:v>test/features/v4/entity_link_registry_test.dart::human presentation survives serialization and replaces raw ids</x:v>
      </x:c>
      <x:c r="H35" s="9" t="str">
        <x:v>Flutter</x:v>
      </x:c>
      <x:c r="I35" s="9" t="str">
        <x:v>test/features/v4/entity_link_registry_test.dart</x:v>
      </x:c>
      <x:c r="J35" s="9" t="str">
        <x:v>human presentation survives serialization and replaces raw ids</x:v>
      </x:c>
      <x:c r="K35" s="9" t="str">
        <x:v>PASS</x:v>
      </x:c>
      <x:c r="L35" s="9" t="str">
        <x:v>evidence/flutter-test-machine-final-156.ndjson</x:v>
      </x:c>
    </x:row>
    <x:row r="36">
      <x:c r="A36" s="9" t="str">
        <x:v>NAV-009</x:v>
      </x:c>
      <x:c r="B36" s="9" t="str">
        <x:v>App Experience</x:v>
      </x:c>
      <x:c r="C36" s="9" t="str">
        <x:v>Desktop open current tab</x:v>
      </x:c>
      <x:c r="D36" s="9" t="str">
        <x:v>PASS</x:v>
      </x:c>
      <x:c r="E36" s="9" t="str">
        <x:v>AUTOMATED</x:v>
      </x:c>
      <x:c r="F36" s="9" t="str">
        <x:v>—</x:v>
      </x:c>
      <x:c r="G36" s="9" t="str">
        <x:v>test/features/v4/desktop_workspace_controller_test.dart::lateral section replacement becomes the Back source for drilldown</x:v>
      </x:c>
      <x:c r="H36" s="9" t="str">
        <x:v>Flutter</x:v>
      </x:c>
      <x:c r="I36" s="9" t="str">
        <x:v>test/features/v4/desktop_workspace_controller_test.dart</x:v>
      </x:c>
      <x:c r="J36" s="9" t="str">
        <x:v>lateral section replacement becomes the Back source for drilldown</x:v>
      </x:c>
      <x:c r="K36" s="9" t="str">
        <x:v>PASS</x:v>
      </x:c>
      <x:c r="L36" s="9" t="str">
        <x:v>evidence/flutter-test-machine-final-156.ndjson</x:v>
      </x:c>
    </x:row>
    <x:row r="37">
      <x:c r="A37" s="9" t="str">
        <x:v>NAV-010</x:v>
      </x:c>
      <x:c r="B37" s="9" t="str">
        <x:v>App Experience</x:v>
      </x:c>
      <x:c r="C37" s="9" t="str">
        <x:v>Desktop open new tab</x:v>
      </x:c>
      <x:c r="D37" s="9" t="str">
        <x:v>PASS</x:v>
      </x:c>
      <x:c r="E37" s="9" t="str">
        <x:v>AUTOMATED</x:v>
      </x:c>
      <x:c r="F37" s="9" t="str">
        <x:v>—</x:v>
      </x:c>
      <x:c r="G37" s="9" t="str">
        <x:v>test/features/v4/desktop_workspace_controller_test.dart::normal open focuses existing entity and explicit new duplicates it</x:v>
      </x:c>
      <x:c r="H37" s="9" t="str">
        <x:v>Flutter</x:v>
      </x:c>
      <x:c r="I37" s="9" t="str">
        <x:v>test/features/v4/desktop_workspace_controller_test.dart</x:v>
      </x:c>
      <x:c r="J37" s="9" t="str">
        <x:v>normal open focuses existing entity and explicit new duplicates it</x:v>
      </x:c>
      <x:c r="K37" s="9" t="str">
        <x:v>PASS</x:v>
      </x:c>
      <x:c r="L37" s="9" t="str">
        <x:v>evidence/flutter-test-machine-final-156.ndjson</x:v>
      </x:c>
    </x:row>
    <x:row r="38">
      <x:c r="A38" s="9" t="str">
        <x:v>NAV-011</x:v>
      </x:c>
      <x:c r="B38" s="9" t="str">
        <x:v>App Experience</x:v>
      </x:c>
      <x:c r="C38" s="9" t="str">
        <x:v>Workspace restart restore</x:v>
      </x:c>
      <x:c r="D38" s="9" t="str">
        <x:v>PASS</x:v>
      </x:c>
      <x:c r="E38" s="9" t="str">
        <x:v>AUTOMATED</x:v>
      </x:c>
      <x:c r="F38" s="9" t="str">
        <x:v>—</x:v>
      </x:c>
      <x:c r="G38" s="9" t="str">
        <x:v>test/features/v6/production_workspace_mount_test.dart::restart restores permitted tabs and logout clears cache</x:v>
      </x:c>
      <x:c r="H38" s="9" t="str">
        <x:v>Flutter</x:v>
      </x:c>
      <x:c r="I38" s="9" t="str">
        <x:v>test/features/v6/production_workspace_mount_test.dart</x:v>
      </x:c>
      <x:c r="J38" s="9" t="str">
        <x:v>restart restores permitted tabs and logout clears cache</x:v>
      </x:c>
      <x:c r="K38" s="9" t="str">
        <x:v>PASS</x:v>
      </x:c>
      <x:c r="L38" s="9" t="str">
        <x:v>evidence/flutter-test-machine-final-156.ndjson</x:v>
      </x:c>
    </x:row>
    <x:row r="39">
      <x:c r="A39" s="9" t="str">
        <x:v>NAV-012</x:v>
      </x:c>
      <x:c r="B39" s="9" t="str">
        <x:v>App Experience</x:v>
      </x:c>
      <x:c r="C39" s="9" t="str">
        <x:v>Workspace logout clear</x:v>
      </x:c>
      <x:c r="D39" s="9" t="str">
        <x:v>PASS</x:v>
      </x:c>
      <x:c r="E39" s="9" t="str">
        <x:v>AUTOMATED</x:v>
      </x:c>
      <x:c r="F39" s="9" t="str">
        <x:v>—</x:v>
      </x:c>
      <x:c r="G39" s="9" t="str">
        <x:v>test/features/v4/workspace_persistence_logout_test.dart::global logout clears two windows and persisted state</x:v>
      </x:c>
      <x:c r="H39" s="9" t="str">
        <x:v>Flutter</x:v>
      </x:c>
      <x:c r="I39" s="9" t="str">
        <x:v>test/features/v4/workspace_persistence_logout_test.dart</x:v>
      </x:c>
      <x:c r="J39" s="9" t="str">
        <x:v>global logout clears two windows and persisted state under 2 seconds</x:v>
      </x:c>
      <x:c r="K39" s="9" t="str">
        <x:v>PASS</x:v>
      </x:c>
      <x:c r="L39" s="9" t="str">
        <x:v>evidence/flutter-test-machine-final-156.ndjson</x:v>
      </x:c>
    </x:row>
    <x:row r="40">
      <x:c r="A40" s="9" t="str">
        <x:v>NAV-013</x:v>
      </x:c>
      <x:c r="B40" s="9" t="str">
        <x:v>App Experience</x:v>
      </x:c>
      <x:c r="C40" s="9" t="str">
        <x:v>Per-tab Back/Forward</x:v>
      </x:c>
      <x:c r="D40" s="9" t="str">
        <x:v>PASS</x:v>
      </x:c>
      <x:c r="E40" s="9" t="str">
        <x:v>AUTOMATED</x:v>
      </x:c>
      <x:c r="F40" s="9" t="str">
        <x:v>—</x:v>
      </x:c>
      <x:c r="G40" s="9" t="str">
        <x:v>test/features/v6/desktop_context_bar_test.dart::ancestor, Back and Forward stay inside the active tab</x:v>
      </x:c>
      <x:c r="H40" s="9" t="str">
        <x:v>Flutter</x:v>
      </x:c>
      <x:c r="I40" s="9" t="str">
        <x:v>test/features/v6/desktop_context_bar_test.dart</x:v>
      </x:c>
      <x:c r="J40" s="9" t="str">
        <x:v>ancestor, Back and Forward stay inside the active tab</x:v>
      </x:c>
      <x:c r="K40" s="9" t="str">
        <x:v>PASS</x:v>
      </x:c>
      <x:c r="L40" s="9" t="str">
        <x:v>evidence/flutter-test-machine-final-156.ndjson</x:v>
      </x:c>
    </x:row>
    <x:row r="41">
      <x:c r="A41" s="9" t="str">
        <x:v>NAV-014</x:v>
      </x:c>
      <x:c r="B41" s="9" t="str">
        <x:v>App Experience</x:v>
      </x:c>
      <x:c r="C41" s="9" t="str">
        <x:v>Compact Back</x:v>
      </x:c>
      <x:c r="D41" s="9" t="str">
        <x:v>PASS</x:v>
      </x:c>
      <x:c r="E41" s="9" t="str">
        <x:v>AUTOMATED + DEVICE</x:v>
      </x:c>
      <x:c r="F41" s="9" t="str">
        <x:v>RUN-A-019</x:v>
      </x:c>
      <x:c r="G41" s="9" t="str">
        <x:v>test/core/navigation/app_back_policy_test.dart::partial and full mobile sheets both dismiss before the page</x:v>
      </x:c>
      <x:c r="H41" s="9" t="str">
        <x:v>Flutter</x:v>
      </x:c>
      <x:c r="I41" s="9" t="str">
        <x:v>test/core/navigation/app_back_policy_test.dart</x:v>
      </x:c>
      <x:c r="J41" s="9" t="str">
        <x:v>partial and full mobile sheets both dismiss before the page</x:v>
      </x:c>
      <x:c r="K41" s="9" t="str">
        <x:v>PASS</x:v>
      </x:c>
      <x:c r="L41" s="9" t="str">
        <x:v>evidence/flutter-test-machine-final-156.ndjson</x:v>
      </x:c>
    </x:row>
    <x:row r="42">
      <x:c r="A42" s="9" t="str">
        <x:v>NAV-015</x:v>
      </x:c>
      <x:c r="B42" s="9" t="str">
        <x:v>App Experience</x:v>
      </x:c>
      <x:c r="C42" s="9" t="str">
        <x:v>Dirty editor guard</x:v>
      </x:c>
      <x:c r="D42" s="9" t="str">
        <x:v>PASS</x:v>
      </x:c>
      <x:c r="E42" s="9" t="str">
        <x:v>AUTOMATED</x:v>
      </x:c>
      <x:c r="F42" s="9" t="str">
        <x:v>—</x:v>
      </x:c>
      <x:c r="G42" s="9" t="str">
        <x:v>test/core/widgets/dirty_form_exit_test.dart::all exit sources use the same Save Discard Cancel decision</x:v>
      </x:c>
      <x:c r="H42" s="9" t="str">
        <x:v>Flutter</x:v>
      </x:c>
      <x:c r="I42" s="9" t="str">
        <x:v>test/core/widgets/dirty_form_exit_test.dart</x:v>
      </x:c>
      <x:c r="J42" s="9" t="str">
        <x:v>all exit sources use the same Save Discard Cancel decision</x:v>
      </x:c>
      <x:c r="K42" s="9" t="str">
        <x:v>PASS</x:v>
      </x:c>
      <x:c r="L42" s="9" t="str">
        <x:v>evidence/flutter-test-machine-final-156.ndjson</x:v>
      </x:c>
    </x:row>
    <x:row r="43">
      <x:c r="A43" s="9" t="str">
        <x:v>NAV-016</x:v>
      </x:c>
      <x:c r="B43" s="9" t="str">
        <x:v>App Experience</x:v>
      </x:c>
      <x:c r="C43" s="9" t="str">
        <x:v>Adaptive surface</x:v>
      </x:c>
      <x:c r="D43" s="9" t="str">
        <x:v>PASS</x:v>
      </x:c>
      <x:c r="E43" s="9" t="str">
        <x:v>AUTOMATED</x:v>
      </x:c>
      <x:c r="F43" s="9" t="str">
        <x:v>—</x:v>
      </x:c>
      <x:c r="G43" s="9" t="str">
        <x:v>test/core/widgets/adaptive_surface_policy_test.dart::declarative policy covers 360, 600 and 840 widths</x:v>
      </x:c>
      <x:c r="H43" s="9" t="str">
        <x:v>Flutter</x:v>
      </x:c>
      <x:c r="I43" s="9" t="str">
        <x:v>test/core/widgets/adaptive_surface_policy_test.dart</x:v>
      </x:c>
      <x:c r="J43" s="9" t="str">
        <x:v>declarative policy covers 360, 600 and 840 widths</x:v>
      </x:c>
      <x:c r="K43" s="9" t="str">
        <x:v>PASS</x:v>
      </x:c>
      <x:c r="L43" s="9" t="str">
        <x:v>evidence/flutter-test-machine-final-156.ndjson</x:v>
      </x:c>
    </x:row>
    <x:row r="44">
      <x:c r="A44" s="9" t="str">
        <x:v>NAV-017</x:v>
      </x:c>
      <x:c r="B44" s="9" t="str">
        <x:v>App Experience</x:v>
      </x:c>
      <x:c r="C44" s="9" t="str">
        <x:v>Routed states</x:v>
      </x:c>
      <x:c r="D44" s="9" t="str">
        <x:v>PASS</x:v>
      </x:c>
      <x:c r="E44" s="9" t="str">
        <x:v>AUTOMATED</x:v>
      </x:c>
      <x:c r="F44" s="9" t="str">
        <x:v>—</x:v>
      </x:c>
      <x:c r="G44" s="9" t="str">
        <x:v>test/core/widgets/magic_page_state_test.dart::page states expose retry and concise empty guidance</x:v>
      </x:c>
      <x:c r="H44" s="9" t="str">
        <x:v>Flutter</x:v>
      </x:c>
      <x:c r="I44" s="9" t="str">
        <x:v>test/core/widgets/magic_page_state_test.dart</x:v>
      </x:c>
      <x:c r="J44" s="9" t="str">
        <x:v>page states expose retry and concise empty guidance</x:v>
      </x:c>
      <x:c r="K44" s="9" t="str">
        <x:v>PASS</x:v>
      </x:c>
      <x:c r="L44" s="9" t="str">
        <x:v>evidence/flutter-test-machine-final-156.ndjson</x:v>
      </x:c>
    </x:row>
    <x:row r="45">
      <x:c r="A45" s="9" t="str">
        <x:v>NAV-018</x:v>
      </x:c>
      <x:c r="B45" s="9" t="str">
        <x:v>App Experience</x:v>
      </x:c>
      <x:c r="C45" s="9" t="str">
        <x:v>Keyboard and semantics</x:v>
      </x:c>
      <x:c r="D45" s="9" t="str">
        <x:v>PASS</x:v>
      </x:c>
      <x:c r="E45" s="9" t="str">
        <x:v>AUTOMATED + DEVICE</x:v>
      </x:c>
      <x:c r="F45" s="9" t="str">
        <x:v>RUN-R-014</x:v>
      </x:c>
      <x:c r="G45" s="9" t="str">
        <x:v>test/features/v6/accessibility_inventory_test.dart::tooltip supplies semantics and Enter activates focus</x:v>
      </x:c>
      <x:c r="H45" s="9" t="str">
        <x:v>Flutter</x:v>
      </x:c>
      <x:c r="I45" s="9" t="str">
        <x:v>test/features/v6/accessibility_inventory_test.dart</x:v>
      </x:c>
      <x:c r="J45" s="9" t="str">
        <x:v>tooltip supplies semantics and Enter activates focus</x:v>
      </x:c>
      <x:c r="K45" s="9" t="str">
        <x:v>PASS</x:v>
      </x:c>
      <x:c r="L45" s="9" t="str">
        <x:v>evidence/flutter-test-machine-final-156.ndjson</x:v>
      </x:c>
    </x:row>
    <x:row r="46">
      <x:c r="A46" s="9" t="str">
        <x:v>CHAT-001</x:v>
      </x:c>
      <x:c r="B46" s="9" t="str">
        <x:v>Messenger</x:v>
      </x:c>
      <x:c r="C46" s="9" t="str">
        <x:v>Load chats</x:v>
      </x:c>
      <x:c r="D46" s="9" t="str">
        <x:v>PASS</x:v>
      </x:c>
      <x:c r="E46" s="9" t="str">
        <x:v>AUTOMATED + DEVICE</x:v>
      </x:c>
      <x:c r="F46" s="9" t="str">
        <x:v>RUN-A-009</x:v>
      </x:c>
      <x:c r="G46" s="9" t="str">
        <x:v>test/core/services/magic_messenger_service_test.dart::listChats follows keyset pages, preserves filters, and deduplicates ids</x:v>
      </x:c>
      <x:c r="H46" s="9" t="str">
        <x:v>Flutter</x:v>
      </x:c>
      <x:c r="I46" s="9" t="str">
        <x:v>test/core/services/magic_messenger_service_test.dart</x:v>
      </x:c>
      <x:c r="J46" s="9" t="str">
        <x:v>MagicMessengerService listChats follows keyset pages, preserves filters, and deduplicates ids</x:v>
      </x:c>
      <x:c r="K46" s="9" t="str">
        <x:v>PASS</x:v>
      </x:c>
      <x:c r="L46" s="9" t="str">
        <x:v>evidence/flutter-test-machine-final-156.ndjson</x:v>
      </x:c>
    </x:row>
    <x:row r="47">
      <x:c r="A47" s="9" t="str">
        <x:v>CHAT-002</x:v>
      </x:c>
      <x:c r="B47" s="9" t="str">
        <x:v>Messenger</x:v>
      </x:c>
      <x:c r="C47" s="9" t="str">
        <x:v>Chat search typing</x:v>
      </x:c>
      <x:c r="D47" s="9" t="str">
        <x:v>PASS</x:v>
      </x:c>
      <x:c r="E47" s="9" t="str">
        <x:v>AUTOMATED + DEVICE</x:v>
      </x:c>
      <x:c r="F47" s="9" t="str">
        <x:v>RUN-A-010</x:v>
      </x:c>
      <x:c r="G47" s="9" t="str">
        <x:v>test/features/messenger/inbox_logic_test.dart::chat search filters each typed prefix without mutating the source</x:v>
      </x:c>
      <x:c r="H47" s="9" t="str">
        <x:v>Flutter</x:v>
      </x:c>
      <x:c r="I47" s="9" t="str">
        <x:v>test/features/messenger/inbox_logic_test.dart</x:v>
      </x:c>
      <x:c r="J47" s="9" t="str">
        <x:v>chat search filters each typed prefix without mutating the source</x:v>
      </x:c>
      <x:c r="K47" s="9" t="str">
        <x:v>PASS</x:v>
      </x:c>
      <x:c r="L47" s="9" t="str">
        <x:v>evidence/flutter-test-machine-final-156.ndjson</x:v>
      </x:c>
    </x:row>
    <x:row r="48">
      <x:c r="A48" s="9" t="str">
        <x:v>CHAT-003</x:v>
      </x:c>
      <x:c r="B48" s="9" t="str">
        <x:v>Messenger</x:v>
      </x:c>
      <x:c r="C48" s="9" t="str">
        <x:v>Staff folders</x:v>
      </x:c>
      <x:c r="D48" s="9" t="str">
        <x:v>PASS</x:v>
      </x:c>
      <x:c r="E48" s="9" t="str">
        <x:v>AUTOMATED</x:v>
      </x:c>
      <x:c r="F48" s="9" t="str">
        <x:v>—</x:v>
      </x:c>
      <x:c r="G48" s="9" t="str">
        <x:v>test/features/messenger/inbox_logic_test.dart::showInboxFolders: true for manager, admin, system_admin</x:v>
      </x:c>
      <x:c r="H48" s="9" t="str">
        <x:v>Flutter</x:v>
      </x:c>
      <x:c r="I48" s="9" t="str">
        <x:v>test/features/messenger/inbox_logic_test.dart</x:v>
      </x:c>
      <x:c r="J48" s="9" t="str">
        <x:v>showInboxFolders: true for manager, admin, system_admin</x:v>
      </x:c>
      <x:c r="K48" s="9" t="str">
        <x:v>PASS</x:v>
      </x:c>
      <x:c r="L48" s="9" t="str">
        <x:v>evidence/flutter-test-machine-final-156.ndjson</x:v>
      </x:c>
    </x:row>
    <x:row r="49">
      <x:c r="A49" s="9" t="str">
        <x:v>CHAT-004</x:v>
      </x:c>
      <x:c r="B49" s="9" t="str">
        <x:v>Messenger</x:v>
      </x:c>
      <x:c r="C49" s="9" t="str">
        <x:v>Branch filter</x:v>
      </x:c>
      <x:c r="D49" s="9" t="str">
        <x:v>PASS</x:v>
      </x:c>
      <x:c r="E49" s="9" t="str">
        <x:v>AUTOMATED</x:v>
      </x:c>
      <x:c r="F49" s="9" t="str">
        <x:v>—</x:v>
      </x:c>
      <x:c r="G49" s="9" t="str">
        <x:v>test/features/messenger/inbox_logic_test.dart::branch filter scopes administration only and preserves non-inbox</x:v>
      </x:c>
      <x:c r="H49" s="9" t="str">
        <x:v>Flutter</x:v>
      </x:c>
      <x:c r="I49" s="9" t="str">
        <x:v>test/features/messenger/inbox_logic_test.dart</x:v>
      </x:c>
      <x:c r="J49" s="9" t="str">
        <x:v>branch filter scopes administration only and preserves non-inbox</x:v>
      </x:c>
      <x:c r="K49" s="9" t="str">
        <x:v>PASS</x:v>
      </x:c>
      <x:c r="L49" s="9" t="str">
        <x:v>evidence/flutter-test-machine-final-156.ndjson</x:v>
      </x:c>
    </x:row>
    <x:row r="50">
      <x:c r="A50" s="9" t="str">
        <x:v>CHAT-005</x:v>
      </x:c>
      <x:c r="B50" s="9" t="str">
        <x:v>Messenger</x:v>
      </x:c>
      <x:c r="C50" s="9" t="str">
        <x:v>Pinned ordering</x:v>
      </x:c>
      <x:c r="D50" s="9" t="str">
        <x:v>PASS</x:v>
      </x:c>
      <x:c r="E50" s="9" t="str">
        <x:v>AUTOMATED</x:v>
      </x:c>
      <x:c r="F50" s="9" t="str">
        <x:v>—</x:v>
      </x:c>
      <x:c r="G50" s="9" t="str">
        <x:v>test/features/messenger/inbox_logic_test.dart::pinned chats sort first and keep newest activity order</x:v>
      </x:c>
      <x:c r="H50" s="9" t="str">
        <x:v>Flutter</x:v>
      </x:c>
      <x:c r="I50" s="9" t="str">
        <x:v>test/features/messenger/inbox_logic_test.dart</x:v>
      </x:c>
      <x:c r="J50" s="9" t="str">
        <x:v>pinned chats sort first and keep newest activity order</x:v>
      </x:c>
      <x:c r="K50" s="9" t="str">
        <x:v>PASS</x:v>
      </x:c>
      <x:c r="L50" s="9" t="str">
        <x:v>evidence/flutter-test-machine-final-156.ndjson</x:v>
      </x:c>
    </x:row>
    <x:row r="51">
      <x:c r="A51" s="9" t="str">
        <x:v>CHAT-006</x:v>
      </x:c>
      <x:c r="B51" s="9" t="str">
        <x:v>Messenger</x:v>
      </x:c>
      <x:c r="C51" s="9" t="str">
        <x:v>Open chat</x:v>
      </x:c>
      <x:c r="D51" s="9" t="str">
        <x:v>PASS</x:v>
      </x:c>
      <x:c r="E51" s="9" t="str">
        <x:v>AUTOMATED</x:v>
      </x:c>
      <x:c r="F51" s="9" t="str">
        <x:v>—</x:v>
      </x:c>
      <x:c r="G51" s="9" t="str">
        <x:v>server/src/messenger/messenger.policy.spec.ts::allows chat members to read their own chat</x:v>
      </x:c>
      <x:c r="H51" s="9" t="str">
        <x:v>Server</x:v>
      </x:c>
      <x:c r="I51" s="9" t="str">
        <x:v>server/src/messenger/messenger.policy.spec.ts</x:v>
      </x:c>
      <x:c r="J51" s="9" t="str">
        <x:v>MessengerPolicy allows chat members to read their own chat</x:v>
      </x:c>
      <x:c r="K51" s="9" t="str">
        <x:v>PASS</x:v>
      </x:c>
      <x:c r="L51" s="9" t="str">
        <x:v>evidence/server-test-json-final-156.json</x:v>
      </x:c>
    </x:row>
    <x:row r="52">
      <x:c r="A52" s="9" t="str">
        <x:v>CHAT-007</x:v>
      </x:c>
      <x:c r="B52" s="9" t="str">
        <x:v>Messenger</x:v>
      </x:c>
      <x:c r="C52" s="9" t="str">
        <x:v>Create direct chat</x:v>
      </x:c>
      <x:c r="D52" s="9" t="str">
        <x:v>PASS</x:v>
      </x:c>
      <x:c r="E52" s="9" t="str">
        <x:v>AUTOMATED</x:v>
      </x:c>
      <x:c r="F52" s="9" t="str">
        <x:v>—</x:v>
      </x:c>
      <x:c r="G52" s="9" t="str">
        <x:v>test/core/services/magic_messenger_service_test.dart::creates direct chat and maps chat summary to legacy keys</x:v>
      </x:c>
      <x:c r="H52" s="9" t="str">
        <x:v>Flutter</x:v>
      </x:c>
      <x:c r="I52" s="9" t="str">
        <x:v>test/core/services/magic_messenger_service_test.dart</x:v>
      </x:c>
      <x:c r="J52" s="9" t="str">
        <x:v>MagicMessengerService creates direct chat and maps chat summary to legacy keys</x:v>
      </x:c>
      <x:c r="K52" s="9" t="str">
        <x:v>PASS</x:v>
      </x:c>
      <x:c r="L52" s="9" t="str">
        <x:v>evidence/flutter-test-machine-final-156.ndjson</x:v>
      </x:c>
    </x:row>
    <x:row r="53">
      <x:c r="A53" s="9" t="str">
        <x:v>CHAT-008</x:v>
      </x:c>
      <x:c r="B53" s="9" t="str">
        <x:v>Messenger</x:v>
      </x:c>
      <x:c r="C53" s="9" t="str">
        <x:v>Create group</x:v>
      </x:c>
      <x:c r="D53" s="9" t="str">
        <x:v>PASS</x:v>
      </x:c>
      <x:c r="E53" s="9" t="str">
        <x:v>AUTOMATED</x:v>
      </x:c>
      <x:c r="F53" s="9" t="str">
        <x:v>—</x:v>
      </x:c>
      <x:c r="G53" s="9" t="str">
        <x:v>test/core/services/magic_messenger_service_test.dart::creates groups and updates members through v3 API</x:v>
      </x:c>
      <x:c r="H53" s="9" t="str">
        <x:v>Flutter</x:v>
      </x:c>
      <x:c r="I53" s="9" t="str">
        <x:v>test/core/services/magic_messenger_service_test.dart</x:v>
      </x:c>
      <x:c r="J53" s="9" t="str">
        <x:v>MagicMessengerService creates groups and updates members through v3 API</x:v>
      </x:c>
      <x:c r="K53" s="9" t="str">
        <x:v>PASS</x:v>
      </x:c>
      <x:c r="L53" s="9" t="str">
        <x:v>evidence/flutter-test-machine-final-156.ndjson</x:v>
      </x:c>
    </x:row>
    <x:row r="54">
      <x:c r="A54" s="9" t="str">
        <x:v>CHAT-009</x:v>
      </x:c>
      <x:c r="B54" s="9" t="str">
        <x:v>Messenger</x:v>
      </x:c>
      <x:c r="C54" s="9" t="str">
        <x:v>Edit group members</x:v>
      </x:c>
      <x:c r="D54" s="9" t="str">
        <x:v>PASS</x:v>
      </x:c>
      <x:c r="E54" s="9" t="str">
        <x:v>AUTOMATED</x:v>
      </x:c>
      <x:c r="F54" s="9" t="str">
        <x:v>—</x:v>
      </x:c>
      <x:c r="G54" s="9" t="str">
        <x:v>test/core/services/magic_messenger_service_test.dart::creates groups and updates members through v3 API</x:v>
      </x:c>
      <x:c r="H54" s="9" t="str">
        <x:v>Flutter</x:v>
      </x:c>
      <x:c r="I54" s="9" t="str">
        <x:v>test/core/services/magic_messenger_service_test.dart</x:v>
      </x:c>
      <x:c r="J54" s="9" t="str">
        <x:v>MagicMessengerService creates groups and updates members through v3 API</x:v>
      </x:c>
      <x:c r="K54" s="9" t="str">
        <x:v>PASS</x:v>
      </x:c>
      <x:c r="L54" s="9" t="str">
        <x:v>evidence/flutter-test-machine-final-156.ndjson</x:v>
      </x:c>
    </x:row>
    <x:row r="55">
      <x:c r="A55" s="9" t="str">
        <x:v>CHAT-010</x:v>
      </x:c>
      <x:c r="B55" s="9" t="str">
        <x:v>Messenger</x:v>
      </x:c>
      <x:c r="C55" s="9" t="str">
        <x:v>Leave group</x:v>
      </x:c>
      <x:c r="D55" s="9" t="str">
        <x:v>PASS</x:v>
      </x:c>
      <x:c r="E55" s="9" t="str">
        <x:v>AUTOMATED</x:v>
      </x:c>
      <x:c r="F55" s="9" t="str">
        <x:v>—</x:v>
      </x:c>
      <x:c r="G55" s="9" t="str">
        <x:v>test/core/services/magic_messenger_service_test.dart::leaveGroup posts to groups/:id/leave</x:v>
      </x:c>
      <x:c r="H55" s="9" t="str">
        <x:v>Flutter</x:v>
      </x:c>
      <x:c r="I55" s="9" t="str">
        <x:v>test/core/services/magic_messenger_service_test.dart</x:v>
      </x:c>
      <x:c r="J55" s="9" t="str">
        <x:v>MagicMessengerService leaveGroup posts to groups/:id/leave</x:v>
      </x:c>
      <x:c r="K55" s="9" t="str">
        <x:v>PASS</x:v>
      </x:c>
      <x:c r="L55" s="9" t="str">
        <x:v>evidence/flutter-test-machine-final-156.ndjson</x:v>
      </x:c>
    </x:row>
    <x:row r="56">
      <x:c r="A56" s="9" t="str">
        <x:v>CHAT-011</x:v>
      </x:c>
      <x:c r="B56" s="9" t="str">
        <x:v>Messenger</x:v>
      </x:c>
      <x:c r="C56" s="9" t="str">
        <x:v>Send text</x:v>
      </x:c>
      <x:c r="D56" s="9" t="str">
        <x:v>PASS</x:v>
      </x:c>
      <x:c r="E56" s="9" t="str">
        <x:v>AUTOMATED</x:v>
      </x:c>
      <x:c r="F56" s="9" t="str">
        <x:v>—</x:v>
      </x:c>
      <x:c r="G56" s="9" t="str">
        <x:v>test/core/services/magic_messenger_service_test.dart::sends text message and marks chat as read</x:v>
      </x:c>
      <x:c r="H56" s="9" t="str">
        <x:v>Flutter</x:v>
      </x:c>
      <x:c r="I56" s="9" t="str">
        <x:v>test/core/services/magic_messenger_service_test.dart</x:v>
      </x:c>
      <x:c r="J56" s="9" t="str">
        <x:v>MagicMessengerService sends text message and marks chat as read</x:v>
      </x:c>
      <x:c r="K56" s="9" t="str">
        <x:v>PASS</x:v>
      </x:c>
      <x:c r="L56" s="9" t="str">
        <x:v>evidence/flutter-test-machine-final-156.ndjson</x:v>
      </x:c>
    </x:row>
    <x:row r="57">
      <x:c r="A57" s="9" t="str">
        <x:v>CHAT-012</x:v>
      </x:c>
      <x:c r="B57" s="9" t="str">
        <x:v>Messenger</x:v>
      </x:c>
      <x:c r="C57" s="9" t="str">
        <x:v>Reply</x:v>
      </x:c>
      <x:c r="D57" s="9" t="str">
        <x:v>PASS</x:v>
      </x:c>
      <x:c r="E57" s="9" t="str">
        <x:v>AUTOMATED</x:v>
      </x:c>
      <x:c r="F57" s="9" t="str">
        <x:v>—</x:v>
      </x:c>
      <x:c r="G57" s="9" t="str">
        <x:v>test/core/services/magic_messenger_service_test.dart::sends a reply with the selected source message id</x:v>
      </x:c>
      <x:c r="H57" s="9" t="str">
        <x:v>Flutter</x:v>
      </x:c>
      <x:c r="I57" s="9" t="str">
        <x:v>test/core/services/magic_messenger_service_test.dart</x:v>
      </x:c>
      <x:c r="J57" s="9" t="str">
        <x:v>MagicMessengerService sends a reply with the selected source message id</x:v>
      </x:c>
      <x:c r="K57" s="9" t="str">
        <x:v>PASS</x:v>
      </x:c>
      <x:c r="L57" s="9" t="str">
        <x:v>evidence/flutter-test-machine-final-156.ndjson</x:v>
      </x:c>
    </x:row>
    <x:row r="58">
      <x:c r="A58" s="9" t="str">
        <x:v>CHAT-013</x:v>
      </x:c>
      <x:c r="B58" s="9" t="str">
        <x:v>Messenger</x:v>
      </x:c>
      <x:c r="C58" s="9" t="str">
        <x:v>Forward</x:v>
      </x:c>
      <x:c r="D58" s="9" t="str">
        <x:v>PASS</x:v>
      </x:c>
      <x:c r="E58" s="9" t="str">
        <x:v>AUTOMATED</x:v>
      </x:c>
      <x:c r="F58" s="9" t="str">
        <x:v>—</x:v>
      </x:c>
      <x:c r="G58" s="9" t="str">
        <x:v>test/core/services/magic_messenger_service_test.dart::uses v3 edit, moderation, pin and reaction endpoints</x:v>
      </x:c>
      <x:c r="H58" s="9" t="str">
        <x:v>Flutter</x:v>
      </x:c>
      <x:c r="I58" s="9" t="str">
        <x:v>test/core/services/magic_messenger_service_test.dart</x:v>
      </x:c>
      <x:c r="J58" s="9" t="str">
        <x:v>MagicMessengerService uses v3 edit, moderation, pin and reaction endpoints</x:v>
      </x:c>
      <x:c r="K58" s="9" t="str">
        <x:v>PASS</x:v>
      </x:c>
      <x:c r="L58" s="9" t="str">
        <x:v>evidence/flutter-test-machine-final-156.ndjson</x:v>
      </x:c>
    </x:row>
    <x:row r="59">
      <x:c r="A59" s="9" t="str">
        <x:v>CHAT-014</x:v>
      </x:c>
      <x:c r="B59" s="9" t="str">
        <x:v>Messenger</x:v>
      </x:c>
      <x:c r="C59" s="9" t="str">
        <x:v>Edit message</x:v>
      </x:c>
      <x:c r="D59" s="9" t="str">
        <x:v>PASS</x:v>
      </x:c>
      <x:c r="E59" s="9" t="str">
        <x:v>AUTOMATED</x:v>
      </x:c>
      <x:c r="F59" s="9" t="str">
        <x:v>—</x:v>
      </x:c>
      <x:c r="G59" s="9" t="str">
        <x:v>test/core/services/magic_messenger_service_test.dart::uses v3 edit, moderation, pin and reaction endpoints</x:v>
      </x:c>
      <x:c r="H59" s="9" t="str">
        <x:v>Flutter</x:v>
      </x:c>
      <x:c r="I59" s="9" t="str">
        <x:v>test/core/services/magic_messenger_service_test.dart</x:v>
      </x:c>
      <x:c r="J59" s="9" t="str">
        <x:v>MagicMessengerService uses v3 edit, moderation, pin and reaction endpoints</x:v>
      </x:c>
      <x:c r="K59" s="9" t="str">
        <x:v>PASS</x:v>
      </x:c>
      <x:c r="L59" s="9" t="str">
        <x:v>evidence/flutter-test-machine-final-156.ndjson</x:v>
      </x:c>
    </x:row>
    <x:row r="60">
      <x:c r="A60" s="9" t="str">
        <x:v>CHAT-015</x:v>
      </x:c>
      <x:c r="B60" s="9" t="str">
        <x:v>Messenger</x:v>
      </x:c>
      <x:c r="C60" s="9" t="str">
        <x:v>Delete message</x:v>
      </x:c>
      <x:c r="D60" s="9" t="str">
        <x:v>PASS</x:v>
      </x:c>
      <x:c r="E60" s="9" t="str">
        <x:v>AUTOMATED</x:v>
      </x:c>
      <x:c r="F60" s="9" t="str">
        <x:v>—</x:v>
      </x:c>
      <x:c r="G60" s="9" t="str">
        <x:v>server/src/messenger/message.service.spec.ts::deleteMessage masks senderId for a STAFF author in an administration chat</x:v>
      </x:c>
      <x:c r="H60" s="9" t="str">
        <x:v>Server</x:v>
      </x:c>
      <x:c r="I60" s="9" t="str">
        <x:v>server/src/messenger/message.service.spec.ts</x:v>
      </x:c>
      <x:c r="J60" s="9" t="str">
        <x:v>MessageService staff-identity masking on message.updated realtime paths deleteMessage masks senderId for a STAFF author in an administration chat</x:v>
      </x:c>
      <x:c r="K60" s="9" t="str">
        <x:v>PASS</x:v>
      </x:c>
      <x:c r="L60" s="9" t="str">
        <x:v>evidence/server-test-json-final-156.json</x:v>
      </x:c>
    </x:row>
    <x:row r="61">
      <x:c r="A61" s="9" t="str">
        <x:v>CHAT-016</x:v>
      </x:c>
      <x:c r="B61" s="9" t="str">
        <x:v>Messenger</x:v>
      </x:c>
      <x:c r="C61" s="9" t="str">
        <x:v>Upload attachment</x:v>
      </x:c>
      <x:c r="D61" s="9" t="str">
        <x:v>PASS</x:v>
      </x:c>
      <x:c r="E61" s="9" t="str">
        <x:v>AUTOMATED</x:v>
      </x:c>
      <x:c r="F61" s="9" t="str">
        <x:v>—</x:v>
      </x:c>
      <x:c r="G61" s="9" t="str">
        <x:v>server/src/messenger/messenger.service.spec.ts::rejects message attachmentFileId that is not an active chat attachment</x:v>
      </x:c>
      <x:c r="H61" s="9" t="str">
        <x:v>Server</x:v>
      </x:c>
      <x:c r="I61" s="9" t="str">
        <x:v>server/src/messenger/messenger.service.spec.ts</x:v>
      </x:c>
      <x:c r="J61" s="9" t="str">
        <x:v>MessengerService rejects message attachmentFileId that is not an active chat attachment for the chat</x:v>
      </x:c>
      <x:c r="K61" s="9" t="str">
        <x:v>PASS</x:v>
      </x:c>
      <x:c r="L61" s="9" t="str">
        <x:v>evidence/server-test-json-final-156.json</x:v>
      </x:c>
    </x:row>
    <x:row r="62">
      <x:c r="A62" s="9" t="str">
        <x:v>CHAT-017</x:v>
      </x:c>
      <x:c r="B62" s="9" t="str">
        <x:v>Messenger</x:v>
      </x:c>
      <x:c r="C62" s="9" t="str">
        <x:v>Voice message</x:v>
      </x:c>
      <x:c r="D62" s="9" t="str">
        <x:v>PASS</x:v>
      </x:c>
      <x:c r="E62" s="9" t="str">
        <x:v>AUTOMATED</x:v>
      </x:c>
      <x:c r="F62" s="9" t="str">
        <x:v>—</x:v>
      </x:c>
      <x:c r="G62" s="9" t="str">
        <x:v>test/core/services/chat_attachment_service_test.dart::uploads voice messages with chat_voice purpose</x:v>
      </x:c>
      <x:c r="H62" s="9" t="str">
        <x:v>Flutter</x:v>
      </x:c>
      <x:c r="I62" s="9" t="str">
        <x:v>test/core/services/chat_attachment_service_test.dart</x:v>
      </x:c>
      <x:c r="J62" s="9" t="str">
        <x:v>uploads voice messages with chat_voice purpose</x:v>
      </x:c>
      <x:c r="K62" s="9" t="str">
        <x:v>PASS</x:v>
      </x:c>
      <x:c r="L62" s="9" t="str">
        <x:v>evidence/flutter-test-machine-final-156.ndjson</x:v>
      </x:c>
    </x:row>
    <x:row r="63">
      <x:c r="A63" s="9" t="str">
        <x:v>CHAT-018</x:v>
      </x:c>
      <x:c r="B63" s="9" t="str">
        <x:v>Messenger</x:v>
      </x:c>
      <x:c r="C63" s="9" t="str">
        <x:v>Add reaction</x:v>
      </x:c>
      <x:c r="D63" s="9" t="str">
        <x:v>PASS</x:v>
      </x:c>
      <x:c r="E63" s="9" t="str">
        <x:v>AUTOMATED</x:v>
      </x:c>
      <x:c r="F63" s="9" t="str">
        <x:v>—</x:v>
      </x:c>
      <x:c r="G63" s="9" t="str">
        <x:v>test/core/services/magic_messenger_service_test.dart::pin and reaction endpoints</x:v>
      </x:c>
      <x:c r="H63" s="9" t="str">
        <x:v>Flutter</x:v>
      </x:c>
      <x:c r="I63" s="9" t="str">
        <x:v>test/core/services/magic_messenger_service_test.dart</x:v>
      </x:c>
      <x:c r="J63" s="9" t="str">
        <x:v>MagicMessengerService uses v3 edit, moderation, pin and reaction endpoints</x:v>
      </x:c>
      <x:c r="K63" s="9" t="str">
        <x:v>PASS</x:v>
      </x:c>
      <x:c r="L63" s="9" t="str">
        <x:v>evidence/flutter-test-machine-final-156.ndjson</x:v>
      </x:c>
    </x:row>
    <x:row r="64">
      <x:c r="A64" s="9" t="str">
        <x:v>CHAT-019</x:v>
      </x:c>
      <x:c r="B64" s="9" t="str">
        <x:v>Messenger</x:v>
      </x:c>
      <x:c r="C64" s="9" t="str">
        <x:v>Remove reaction</x:v>
      </x:c>
      <x:c r="D64" s="9" t="str">
        <x:v>PASS</x:v>
      </x:c>
      <x:c r="E64" s="9" t="str">
        <x:v>AUTOMATED</x:v>
      </x:c>
      <x:c r="F64" s="9" t="str">
        <x:v>—</x:v>
      </x:c>
      <x:c r="G64" s="9" t="str">
        <x:v>test/core/services/magic_messenger_service_test.dart::pin and reaction endpoints</x:v>
      </x:c>
      <x:c r="H64" s="9" t="str">
        <x:v>Flutter</x:v>
      </x:c>
      <x:c r="I64" s="9" t="str">
        <x:v>test/core/services/magic_messenger_service_test.dart</x:v>
      </x:c>
      <x:c r="J64" s="9" t="str">
        <x:v>MagicMessengerService uses v3 edit, moderation, pin and reaction endpoints</x:v>
      </x:c>
      <x:c r="K64" s="9" t="str">
        <x:v>PASS</x:v>
      </x:c>
      <x:c r="L64" s="9" t="str">
        <x:v>evidence/flutter-test-machine-final-156.ndjson</x:v>
      </x:c>
    </x:row>
    <x:row r="65">
      <x:c r="A65" s="9" t="str">
        <x:v>CHAT-020</x:v>
      </x:c>
      <x:c r="B65" s="9" t="str">
        <x:v>Messenger</x:v>
      </x:c>
      <x:c r="C65" s="9" t="str">
        <x:v>Pin message</x:v>
      </x:c>
      <x:c r="D65" s="9" t="str">
        <x:v>PASS</x:v>
      </x:c>
      <x:c r="E65" s="9" t="str">
        <x:v>AUTOMATED</x:v>
      </x:c>
      <x:c r="F65" s="9" t="str">
        <x:v>—</x:v>
      </x:c>
      <x:c r="G65" s="9" t="str">
        <x:v>server/src/messenger/message.service.spec.ts::pinMessage masks senderId for a STAFF author</x:v>
      </x:c>
      <x:c r="H65" s="9" t="str">
        <x:v>Server</x:v>
      </x:c>
      <x:c r="I65" s="9" t="str">
        <x:v>server/src/messenger/message.service.spec.ts</x:v>
      </x:c>
      <x:c r="J65" s="9" t="str">
        <x:v>MessageService staff-identity masking on message.updated realtime paths pinMessage masks senderId for a STAFF author in an administration chat</x:v>
      </x:c>
      <x:c r="K65" s="9" t="str">
        <x:v>PASS</x:v>
      </x:c>
      <x:c r="L65" s="9" t="str">
        <x:v>evidence/server-test-json-final-156.json</x:v>
      </x:c>
    </x:row>
    <x:row r="66">
      <x:c r="A66" s="9" t="str">
        <x:v>CHAT-021</x:v>
      </x:c>
      <x:c r="B66" s="9" t="str">
        <x:v>Messenger</x:v>
      </x:c>
      <x:c r="C66" s="9" t="str">
        <x:v>Unpin message</x:v>
      </x:c>
      <x:c r="D66" s="9" t="str">
        <x:v>PASS</x:v>
      </x:c>
      <x:c r="E66" s="9" t="str">
        <x:v>AUTOMATED</x:v>
      </x:c>
      <x:c r="F66" s="9" t="str">
        <x:v>—</x:v>
      </x:c>
      <x:c r="G66" s="9" t="str">
        <x:v>server/src/messenger/message.service.spec.ts::unpinMessage masks senderId for a STAFF author</x:v>
      </x:c>
      <x:c r="H66" s="9" t="str">
        <x:v>Server</x:v>
      </x:c>
      <x:c r="I66" s="9" t="str">
        <x:v>server/src/messenger/message.service.spec.ts</x:v>
      </x:c>
      <x:c r="J66" s="9" t="str">
        <x:v>MessageService staff-identity masking on message.updated realtime paths unpinMessage masks senderId for a STAFF author in an administration chat</x:v>
      </x:c>
      <x:c r="K66" s="9" t="str">
        <x:v>PASS</x:v>
      </x:c>
      <x:c r="L66" s="9" t="str">
        <x:v>evidence/server-test-json-final-156.json</x:v>
      </x:c>
    </x:row>
    <x:row r="67">
      <x:c r="A67" s="9" t="str">
        <x:v>CHAT-022</x:v>
      </x:c>
      <x:c r="B67" s="9" t="str">
        <x:v>Messenger</x:v>
      </x:c>
      <x:c r="C67" s="9" t="str">
        <x:v>Mark read</x:v>
      </x:c>
      <x:c r="D67" s="9" t="str">
        <x:v>PASS</x:v>
      </x:c>
      <x:c r="E67" s="9" t="str">
        <x:v>AUTOMATED</x:v>
      </x:c>
      <x:c r="F67" s="9" t="str">
        <x:v>—</x:v>
      </x:c>
      <x:c r="G67" s="9" t="str">
        <x:v>server/src/messenger/read-receipt.service.spec.ts::derives markRead lastReadMessageId from the latest chat message</x:v>
      </x:c>
      <x:c r="H67" s="9" t="str">
        <x:v>Server</x:v>
      </x:c>
      <x:c r="I67" s="9" t="str">
        <x:v>server/src/messenger/read-receipt.service.spec.ts</x:v>
      </x:c>
      <x:c r="J67" s="9" t="str">
        <x:v>ReadReceiptService derives markRead lastReadMessageId from the latest chat message when omitted</x:v>
      </x:c>
      <x:c r="K67" s="9" t="str">
        <x:v>PASS</x:v>
      </x:c>
      <x:c r="L67" s="9" t="str">
        <x:v>evidence/server-test-json-final-156.json</x:v>
      </x:c>
    </x:row>
    <x:row r="68">
      <x:c r="A68" s="9" t="str">
        <x:v>CHAT-023</x:v>
      </x:c>
      <x:c r="B68" s="9" t="str">
        <x:v>Messenger</x:v>
      </x:c>
      <x:c r="C68" s="9" t="str">
        <x:v>Mute chat</x:v>
      </x:c>
      <x:c r="D68" s="9" t="str">
        <x:v>PASS</x:v>
      </x:c>
      <x:c r="E68" s="9" t="str">
        <x:v>AUTOMATED</x:v>
      </x:c>
      <x:c r="F68" s="9" t="str">
        <x:v>—</x:v>
      </x:c>
      <x:c r="G68" s="9" t="str">
        <x:v>test/core/services/magic_messenger_service_test.dart::updates chat mute preference through v3 API</x:v>
      </x:c>
      <x:c r="H68" s="9" t="str">
        <x:v>Flutter</x:v>
      </x:c>
      <x:c r="I68" s="9" t="str">
        <x:v>test/core/services/magic_messenger_service_test.dart</x:v>
      </x:c>
      <x:c r="J68" s="9" t="str">
        <x:v>MagicMessengerService updates chat mute preference through v3 API</x:v>
      </x:c>
      <x:c r="K68" s="9" t="str">
        <x:v>PASS</x:v>
      </x:c>
      <x:c r="L68" s="9" t="str">
        <x:v>evidence/flutter-test-machine-final-156.ndjson</x:v>
      </x:c>
    </x:row>
    <x:row r="69">
      <x:c r="A69" s="9" t="str">
        <x:v>CHAT-024</x:v>
      </x:c>
      <x:c r="B69" s="9" t="str">
        <x:v>Messenger</x:v>
      </x:c>
      <x:c r="C69" s="9" t="str">
        <x:v>Archive chat</x:v>
      </x:c>
      <x:c r="D69" s="9" t="str">
        <x:v>PASS</x:v>
      </x:c>
      <x:c r="E69" s="9" t="str">
        <x:v>AUTOMATED</x:v>
      </x:c>
      <x:c r="F69" s="9" t="str">
        <x:v>—</x:v>
      </x:c>
      <x:c r="G69" s="9" t="str">
        <x:v>test/core/services/magic_messenger_service_test.dart::archiveChat / unarchiveChat / unassignChat hit the right routes</x:v>
      </x:c>
      <x:c r="H69" s="9" t="str">
        <x:v>Flutter</x:v>
      </x:c>
      <x:c r="I69" s="9" t="str">
        <x:v>test/core/services/magic_messenger_service_test.dart</x:v>
      </x:c>
      <x:c r="J69" s="9" t="str">
        <x:v>MagicMessengerService archiveChat / unarchiveChat / unassignChat hit the right routes</x:v>
      </x:c>
      <x:c r="K69" s="9" t="str">
        <x:v>PASS</x:v>
      </x:c>
      <x:c r="L69" s="9" t="str">
        <x:v>evidence/flutter-test-machine-final-156.ndjson</x:v>
      </x:c>
    </x:row>
    <x:row r="70">
      <x:c r="A70" s="9" t="str">
        <x:v>CHAT-025</x:v>
      </x:c>
      <x:c r="B70" s="9" t="str">
        <x:v>Messenger</x:v>
      </x:c>
      <x:c r="C70" s="9" t="str">
        <x:v>Assign chat</x:v>
      </x:c>
      <x:c r="D70" s="9" t="str">
        <x:v>PASS</x:v>
      </x:c>
      <x:c r="E70" s="9" t="str">
        <x:v>AUTOMATED</x:v>
      </x:c>
      <x:c r="F70" s="9" t="str">
        <x:v>—</x:v>
      </x:c>
      <x:c r="G70" s="9" t="str">
        <x:v>server/src/messenger/chat-inbox.service.spec.ts::assignChat sets assigned_to_user_id/assigned_at and publishes chat.updated</x:v>
      </x:c>
      <x:c r="H70" s="9" t="str">
        <x:v>Server</x:v>
      </x:c>
      <x:c r="I70" s="9" t="str">
        <x:v>server/src/messenger/chat-inbox.service.spec.ts</x:v>
      </x:c>
      <x:c r="J70" s="9" t="str">
        <x:v>ChatInboxService assignChat / unassignChat assignChat sets assigned_to_user_id/assigned_at and publishes chat.updated to admin inbox</x:v>
      </x:c>
      <x:c r="K70" s="9" t="str">
        <x:v>PASS</x:v>
      </x:c>
      <x:c r="L70" s="9" t="str">
        <x:v>evidence/server-test-json-final-156.json</x:v>
      </x:c>
    </x:row>
    <x:row r="71">
      <x:c r="A71" s="9" t="str">
        <x:v>CHAT-026</x:v>
      </x:c>
      <x:c r="B71" s="9" t="str">
        <x:v>Messenger</x:v>
      </x:c>
      <x:c r="C71" s="9" t="str">
        <x:v>Channels list</x:v>
      </x:c>
      <x:c r="D71" s="9" t="str">
        <x:v>PASS</x:v>
      </x:c>
      <x:c r="E71" s="9" t="str">
        <x:v>AUTOMATED</x:v>
      </x:c>
      <x:c r="F71" s="9" t="str">
        <x:v>—</x:v>
      </x:c>
      <x:c r="G71" s="9" t="str">
        <x:v>test/core/services/magic_messenger_service_test.dart::lists channels and channel posts through v3 API</x:v>
      </x:c>
      <x:c r="H71" s="9" t="str">
        <x:v>Flutter</x:v>
      </x:c>
      <x:c r="I71" s="9" t="str">
        <x:v>test/core/services/magic_messenger_service_test.dart</x:v>
      </x:c>
      <x:c r="J71" s="9" t="str">
        <x:v>MagicMessengerService lists channels and channel posts through v3 API</x:v>
      </x:c>
      <x:c r="K71" s="9" t="str">
        <x:v>PASS</x:v>
      </x:c>
      <x:c r="L71" s="9" t="str">
        <x:v>evidence/flutter-test-machine-final-156.ndjson</x:v>
      </x:c>
    </x:row>
    <x:row r="72">
      <x:c r="A72" s="9" t="str">
        <x:v>CHAT-027</x:v>
      </x:c>
      <x:c r="B72" s="9" t="str">
        <x:v>Messenger</x:v>
      </x:c>
      <x:c r="C72" s="9" t="str">
        <x:v>Channel posts</x:v>
      </x:c>
      <x:c r="D72" s="9" t="str">
        <x:v>PASS</x:v>
      </x:c>
      <x:c r="E72" s="9" t="str">
        <x:v>AUTOMATED</x:v>
      </x:c>
      <x:c r="F72" s="9" t="str">
        <x:v>—</x:v>
      </x:c>
      <x:c r="G72" s="9" t="str">
        <x:v>test/core/services/magic_messenger_service_test.dart::lists channels and channel posts through v3 API</x:v>
      </x:c>
      <x:c r="H72" s="9" t="str">
        <x:v>Flutter</x:v>
      </x:c>
      <x:c r="I72" s="9" t="str">
        <x:v>test/core/services/magic_messenger_service_test.dart</x:v>
      </x:c>
      <x:c r="J72" s="9" t="str">
        <x:v>MagicMessengerService lists channels and channel posts through v3 API</x:v>
      </x:c>
      <x:c r="K72" s="9" t="str">
        <x:v>PASS</x:v>
      </x:c>
      <x:c r="L72" s="9" t="str">
        <x:v>evidence/flutter-test-machine-final-156.ndjson</x:v>
      </x:c>
    </x:row>
    <x:row r="73">
      <x:c r="A73" s="9" t="str">
        <x:v>CHAT-028</x:v>
      </x:c>
      <x:c r="B73" s="9" t="str">
        <x:v>Messenger</x:v>
      </x:c>
      <x:c r="C73" s="9" t="str">
        <x:v>Manage channel</x:v>
      </x:c>
      <x:c r="D73" s="9" t="str">
        <x:v>PASS</x:v>
      </x:c>
      <x:c r="E73" s="9" t="str">
        <x:v>AUTOMATED</x:v>
      </x:c>
      <x:c r="F73" s="9" t="str">
        <x:v>—</x:v>
      </x:c>
      <x:c r="G73" s="9" t="str">
        <x:v>test/core/services/magic_messenger_service_test.dart::creates and updates channels through v3 API</x:v>
      </x:c>
      <x:c r="H73" s="9" t="str">
        <x:v>Flutter</x:v>
      </x:c>
      <x:c r="I73" s="9" t="str">
        <x:v>test/core/services/magic_messenger_service_test.dart</x:v>
      </x:c>
      <x:c r="J73" s="9" t="str">
        <x:v>MagicMessengerService creates and updates channels through v3 API</x:v>
      </x:c>
      <x:c r="K73" s="9" t="str">
        <x:v>PASS</x:v>
      </x:c>
      <x:c r="L73" s="9" t="str">
        <x:v>evidence/flutter-test-machine-final-156.ndjson</x:v>
      </x:c>
    </x:row>
    <x:row r="74">
      <x:c r="A74" s="9" t="str">
        <x:v>CHAT-029</x:v>
      </x:c>
      <x:c r="B74" s="9" t="str">
        <x:v>Messenger</x:v>
      </x:c>
      <x:c r="C74" s="9" t="str">
        <x:v>Publish channel post</x:v>
      </x:c>
      <x:c r="D74" s="9" t="str">
        <x:v>PASS</x:v>
      </x:c>
      <x:c r="E74" s="9" t="str">
        <x:v>AUTOMATED</x:v>
      </x:c>
      <x:c r="F74" s="9" t="str">
        <x:v>—</x:v>
      </x:c>
      <x:c r="G74" s="9" t="str">
        <x:v>server/src/messenger/channels.service.spec.ts::publishes channel.post_created to the channel room</x:v>
      </x:c>
      <x:c r="H74" s="9" t="str">
        <x:v>Server</x:v>
      </x:c>
      <x:c r="I74" s="9" t="str">
        <x:v>server/src/messenger/channels.service.spec.ts</x:v>
      </x:c>
      <x:c r="J74" s="9" t="str">
        <x:v>ChannelsService publishes channel.post_created to the channel room, never a chat room</x:v>
      </x:c>
      <x:c r="K74" s="9" t="str">
        <x:v>PASS</x:v>
      </x:c>
      <x:c r="L74" s="9" t="str">
        <x:v>evidence/server-test-json-final-156.json</x:v>
      </x:c>
    </x:row>
    <x:row r="75">
      <x:c r="A75" s="9" t="str">
        <x:v>CHAT-030</x:v>
      </x:c>
      <x:c r="B75" s="9" t="str">
        <x:v>Messenger</x:v>
      </x:c>
      <x:c r="C75" s="9" t="str">
        <x:v>Typing and presence</x:v>
      </x:c>
      <x:c r="D75" s="9" t="str">
        <x:v>PASS</x:v>
      </x:c>
      <x:c r="E75" s="9" t="str">
        <x:v>AUTOMATED</x:v>
      </x:c>
      <x:c r="F75" s="9" t="str">
        <x:v>—</x:v>
      </x:c>
      <x:c r="G75" s="9" t="str">
        <x:v>test/core/services/magic_realtime_service_test.dart::emits room, typing and presence events</x:v>
      </x:c>
      <x:c r="H75" s="9" t="str">
        <x:v>Flutter</x:v>
      </x:c>
      <x:c r="I75" s="9" t="str">
        <x:v>test/core/services/magic_realtime_service_test.dart</x:v>
      </x:c>
      <x:c r="J75" s="9" t="str">
        <x:v>MagicRealtimeService emits room, typing and presence events</x:v>
      </x:c>
      <x:c r="K75" s="9" t="str">
        <x:v>PASS</x:v>
      </x:c>
      <x:c r="L75" s="9" t="str">
        <x:v>evidence/flutter-test-machine-final-156.ndjson</x:v>
      </x:c>
    </x:row>
    <x:row r="76">
      <x:c r="A76" s="9" t="str">
        <x:v>CHAT-031</x:v>
      </x:c>
      <x:c r="B76" s="9" t="str">
        <x:v>Messenger</x:v>
      </x:c>
      <x:c r="C76" s="9" t="str">
        <x:v>Realtime reconnect</x:v>
      </x:c>
      <x:c r="D76" s="9" t="str">
        <x:v>PASS</x:v>
      </x:c>
      <x:c r="E76" s="9" t="str">
        <x:v>AUTOMATED</x:v>
      </x:c>
      <x:c r="F76" s="9" t="str">
        <x:v>—</x:v>
      </x:c>
      <x:c r="G76" s="9" t="str">
        <x:v>test/core/services/magic_realtime_service_test.dart::onConnect fires on every (re)connect so rooms can be re-joined</x:v>
      </x:c>
      <x:c r="H76" s="9" t="str">
        <x:v>Flutter</x:v>
      </x:c>
      <x:c r="I76" s="9" t="str">
        <x:v>test/core/services/magic_realtime_service_test.dart</x:v>
      </x:c>
      <x:c r="J76" s="9" t="str">
        <x:v>MagicRealtimeService onConnect fires on every (re)connect so rooms can be re-joined</x:v>
      </x:c>
      <x:c r="K76" s="9" t="str">
        <x:v>PASS</x:v>
      </x:c>
      <x:c r="L76" s="9" t="str">
        <x:v>evidence/flutter-test-machine-final-156.ndjson</x:v>
      </x:c>
    </x:row>
    <x:row r="77">
      <x:c r="A77" s="9" t="str">
        <x:v>CHAT-032</x:v>
      </x:c>
      <x:c r="B77" s="9" t="str">
        <x:v>Messenger</x:v>
      </x:c>
      <x:c r="C77" s="9" t="str">
        <x:v>Save chat contact</x:v>
      </x:c>
      <x:c r="D77" s="9" t="str">
        <x:v>PASS</x:v>
      </x:c>
      <x:c r="E77" s="9" t="str">
        <x:v>AUTOMATED</x:v>
      </x:c>
      <x:c r="F77" s="9" t="str">
        <x:v>—</x:v>
      </x:c>
      <x:c r="G77" s="9" t="str">
        <x:v>server/src/crm/lead-intake.service.spec.ts::save-from-chat creates and links a new lead from a chat partner</x:v>
      </x:c>
      <x:c r="H77" s="9" t="str">
        <x:v>Server</x:v>
      </x:c>
      <x:c r="I77" s="9" t="str">
        <x:v>server/src/crm/lead-intake.service.spec.ts</x:v>
      </x:c>
      <x:c r="J77" s="9" t="str">
        <x:v>LeadIntakeService save-from-chat creates and links a new lead from a chat partner</x:v>
      </x:c>
      <x:c r="K77" s="9" t="str">
        <x:v>PASS</x:v>
      </x:c>
      <x:c r="L77" s="9" t="str">
        <x:v>evidence/server-test-json-final-156.json</x:v>
      </x:c>
    </x:row>
    <x:row r="78">
      <x:c r="A78" s="9" t="str">
        <x:v>CRM-001</x:v>
      </x:c>
      <x:c r="B78" s="9" t="str">
        <x:v>CRM Clients</x:v>
      </x:c>
      <x:c r="C78" s="9" t="str">
        <x:v>Lead board</x:v>
      </x:c>
      <x:c r="D78" s="9" t="str">
        <x:v>PASS</x:v>
      </x:c>
      <x:c r="E78" s="9" t="str">
        <x:v>AUTOMATED</x:v>
      </x:c>
      <x:c r="F78" s="9" t="str">
        <x:v>—</x:v>
      </x:c>
      <x:c r="G78" s="9" t="str">
        <x:v>server/src/crm/leads.service.spec.ts::returns lead board columns with counts and aggregate lead fields</x:v>
      </x:c>
      <x:c r="H78" s="9" t="str">
        <x:v>Server</x:v>
      </x:c>
      <x:c r="I78" s="9" t="str">
        <x:v>server/src/crm/leads.service.spec.ts</x:v>
      </x:c>
      <x:c r="J78" s="9" t="str">
        <x:v>LeadsService returns lead board columns with counts and aggregate lead fields</x:v>
      </x:c>
      <x:c r="K78" s="9" t="str">
        <x:v>PASS</x:v>
      </x:c>
      <x:c r="L78" s="9" t="str">
        <x:v>evidence/server-test-json-final-156.json</x:v>
      </x:c>
    </x:row>
    <x:row r="79">
      <x:c r="A79" s="9" t="str">
        <x:v>CRM-002</x:v>
      </x:c>
      <x:c r="B79" s="9" t="str">
        <x:v>CRM Clients</x:v>
      </x:c>
      <x:c r="C79" s="9" t="str">
        <x:v>Lead search typing</x:v>
      </x:c>
      <x:c r="D79" s="9" t="str">
        <x:v>PASS</x:v>
      </x:c>
      <x:c r="E79" s="9" t="str">
        <x:v>AUTOMATED + DEVICE</x:v>
      </x:c>
      <x:c r="F79" s="9" t="str">
        <x:v>RUN-A-020</x:v>
      </x:c>
      <x:c r="G79" s="9" t="str">
        <x:v>test/features/manager/realtime_poll_ux_test.dart::lead search keeps focus and board while typing every character</x:v>
      </x:c>
      <x:c r="H79" s="9" t="str">
        <x:v>Flutter</x:v>
      </x:c>
      <x:c r="I79" s="9" t="str">
        <x:v>test/features/manager/realtime_poll_ux_test.dart</x:v>
      </x:c>
      <x:c r="J79" s="9" t="str">
        <x:v>lead search keeps focus and board while typing every character</x:v>
      </x:c>
      <x:c r="K79" s="9" t="str">
        <x:v>PASS</x:v>
      </x:c>
      <x:c r="L79" s="9" t="str">
        <x:v>evidence/flutter-test-machine-final-156.ndjson</x:v>
      </x:c>
    </x:row>
    <x:row r="80">
      <x:c r="A80" s="9" t="str">
        <x:v>CRM-003</x:v>
      </x:c>
      <x:c r="B80" s="9" t="str">
        <x:v>CRM Clients</x:v>
      </x:c>
      <x:c r="C80" s="9" t="str">
        <x:v>Lead filters</x:v>
      </x:c>
      <x:c r="D80" s="9" t="str">
        <x:v>PASS</x:v>
      </x:c>
      <x:c r="E80" s="9" t="str">
        <x:v>AUTOMATED</x:v>
      </x:c>
      <x:c r="F80" s="9" t="str">
        <x:v>—</x:v>
      </x:c>
      <x:c r="G80" s="9" t="str">
        <x:v>server/src/crm/leads.service.spec.ts::lead board branch filter prefers the branch_id column</x:v>
      </x:c>
      <x:c r="H80" s="9" t="str">
        <x:v>Server</x:v>
      </x:c>
      <x:c r="I80" s="9" t="str">
        <x:v>server/src/crm/leads.service.spec.ts</x:v>
      </x:c>
      <x:c r="J80" s="9" t="str">
        <x:v>LeadsService lead board branch filter prefers the branch_id column</x:v>
      </x:c>
      <x:c r="K80" s="9" t="str">
        <x:v>PASS</x:v>
      </x:c>
      <x:c r="L80" s="9" t="str">
        <x:v>evidence/server-test-json-final-156.json</x:v>
      </x:c>
    </x:row>
    <x:row r="81">
      <x:c r="A81" s="9" t="str">
        <x:v>CRM-004</x:v>
      </x:c>
      <x:c r="B81" s="9" t="str">
        <x:v>CRM Clients</x:v>
      </x:c>
      <x:c r="C81" s="9" t="str">
        <x:v>Create Lead</x:v>
      </x:c>
      <x:c r="D81" s="9" t="str">
        <x:v>PASS</x:v>
      </x:c>
      <x:c r="E81" s="9" t="str">
        <x:v>AUTOMATED</x:v>
      </x:c>
      <x:c r="F81" s="9" t="str">
        <x:v>—</x:v>
      </x:c>
      <x:c r="G81" s="9" t="str">
        <x:v>test/core/services/magic_crm_service_test.dart::manages leads and lead statuses through v3 API</x:v>
      </x:c>
      <x:c r="H81" s="9" t="str">
        <x:v>Flutter</x:v>
      </x:c>
      <x:c r="I81" s="9" t="str">
        <x:v>test/core/services/magic_crm_service_test.dart</x:v>
      </x:c>
      <x:c r="J81" s="9" t="str">
        <x:v>MagicCrmService manages leads and lead statuses through v3 API</x:v>
      </x:c>
      <x:c r="K81" s="9" t="str">
        <x:v>PASS</x:v>
      </x:c>
      <x:c r="L81" s="9" t="str">
        <x:v>evidence/flutter-test-machine-final-156.ndjson</x:v>
      </x:c>
    </x:row>
    <x:row r="82">
      <x:c r="A82" s="9" t="str">
        <x:v>CRM-005</x:v>
      </x:c>
      <x:c r="B82" s="9" t="str">
        <x:v>CRM Clients</x:v>
      </x:c>
      <x:c r="C82" s="9" t="str">
        <x:v>Edit Lead</x:v>
      </x:c>
      <x:c r="D82" s="9" t="str">
        <x:v>PASS</x:v>
      </x:c>
      <x:c r="E82" s="9" t="str">
        <x:v>AUTOMATED</x:v>
      </x:c>
      <x:c r="F82" s="9" t="str">
        <x:v>—</x:v>
      </x:c>
      <x:c r="G82" s="9" t="str">
        <x:v>test/core/services/magic_crm_service_test.dart::manages leads and lead statuses through v3 API</x:v>
      </x:c>
      <x:c r="H82" s="9" t="str">
        <x:v>Flutter</x:v>
      </x:c>
      <x:c r="I82" s="9" t="str">
        <x:v>test/core/services/magic_crm_service_test.dart</x:v>
      </x:c>
      <x:c r="J82" s="9" t="str">
        <x:v>MagicCrmService manages leads and lead statuses through v3 API</x:v>
      </x:c>
      <x:c r="K82" s="9" t="str">
        <x:v>PASS</x:v>
      </x:c>
      <x:c r="L82" s="9" t="str">
        <x:v>evidence/flutter-test-machine-final-156.ndjson</x:v>
      </x:c>
    </x:row>
    <x:row r="83">
      <x:c r="A83" s="9" t="str">
        <x:v>CRM-006</x:v>
      </x:c>
      <x:c r="B83" s="9" t="str">
        <x:v>CRM Clients</x:v>
      </x:c>
      <x:c r="C83" s="9" t="str">
        <x:v>Move Lead stage</x:v>
      </x:c>
      <x:c r="D83" s="9" t="str">
        <x:v>PASS</x:v>
      </x:c>
      <x:c r="E83" s="9" t="str">
        <x:v>AUTOMATED</x:v>
      </x:c>
      <x:c r="F83" s="9" t="str">
        <x:v>—</x:v>
      </x:c>
      <x:c r="G83" s="9" t="str">
        <x:v>test/core/services/magic_crm_service_test.dart::manages leads and lead statuses through v3 API</x:v>
      </x:c>
      <x:c r="H83" s="9" t="str">
        <x:v>Flutter</x:v>
      </x:c>
      <x:c r="I83" s="9" t="str">
        <x:v>test/core/services/magic_crm_service_test.dart</x:v>
      </x:c>
      <x:c r="J83" s="9" t="str">
        <x:v>MagicCrmService manages leads and lead statuses through v3 API</x:v>
      </x:c>
      <x:c r="K83" s="9" t="str">
        <x:v>PASS</x:v>
      </x:c>
      <x:c r="L83" s="9" t="str">
        <x:v>evidence/flutter-test-machine-final-156.ndjson</x:v>
      </x:c>
    </x:row>
    <x:row r="84">
      <x:c r="A84" s="9" t="str">
        <x:v>CRM-007</x:v>
      </x:c>
      <x:c r="B84" s="9" t="str">
        <x:v>CRM Clients</x:v>
      </x:c>
      <x:c r="C84" s="9" t="str">
        <x:v>Lead status history</x:v>
      </x:c>
      <x:c r="D84" s="9" t="str">
        <x:v>PASS</x:v>
      </x:c>
      <x:c r="E84" s="9" t="str">
        <x:v>AUTOMATED</x:v>
      </x:c>
      <x:c r="F84" s="9" t="str">
        <x:v>—</x:v>
      </x:c>
      <x:c r="G84" s="9" t="str">
        <x:v>server/src/crm/leads.service.spec.ts::records a lead_status_history row when status changes</x:v>
      </x:c>
      <x:c r="H84" s="9" t="str">
        <x:v>Server</x:v>
      </x:c>
      <x:c r="I84" s="9" t="str">
        <x:v>server/src/crm/leads.service.spec.ts</x:v>
      </x:c>
      <x:c r="J84" s="9" t="str">
        <x:v>LeadsService records a lead_status_history row when status changes</x:v>
      </x:c>
      <x:c r="K84" s="9" t="str">
        <x:v>PASS</x:v>
      </x:c>
      <x:c r="L84" s="9" t="str">
        <x:v>evidence/server-test-json-final-156.json</x:v>
      </x:c>
    </x:row>
    <x:row r="85">
      <x:c r="A85" s="9" t="str">
        <x:v>CRM-008</x:v>
      </x:c>
      <x:c r="B85" s="9" t="str">
        <x:v>CRM Clients</x:v>
      </x:c>
      <x:c r="C85" s="9" t="str">
        <x:v>Lead applications</x:v>
      </x:c>
      <x:c r="D85" s="9" t="str">
        <x:v>PASS</x:v>
      </x:c>
      <x:c r="E85" s="9" t="str">
        <x:v>AUTOMATED</x:v>
      </x:c>
      <x:c r="F85" s="9" t="str">
        <x:v>—</x:v>
      </x:c>
      <x:c r="G85" s="9" t="str">
        <x:v>server/src/crm/leads.service.spec.ts::lists a lead's applications newest-first</x:v>
      </x:c>
      <x:c r="H85" s="9" t="str">
        <x:v>Server</x:v>
      </x:c>
      <x:c r="I85" s="9" t="str">
        <x:v>server/src/crm/leads.service.spec.ts</x:v>
      </x:c>
      <x:c r="J85" s="9" t="str">
        <x:v>LeadsService lists a lead's applications newest-first (KVA-234)</x:v>
      </x:c>
      <x:c r="K85" s="9" t="str">
        <x:v>PASS</x:v>
      </x:c>
      <x:c r="L85" s="9" t="str">
        <x:v>evidence/server-test-json-final-156.json</x:v>
      </x:c>
    </x:row>
    <x:row r="86">
      <x:c r="A86" s="9" t="str">
        <x:v>CRM-009</x:v>
      </x:c>
      <x:c r="B86" s="9" t="str">
        <x:v>CRM Clients</x:v>
      </x:c>
      <x:c r="C86" s="9" t="str">
        <x:v>Lead blacklist</x:v>
      </x:c>
      <x:c r="D86" s="9" t="str">
        <x:v>PASS</x:v>
      </x:c>
      <x:c r="E86" s="9" t="str">
        <x:v>AUTOMATED</x:v>
      </x:c>
      <x:c r="F86" s="9" t="str">
        <x:v>—</x:v>
      </x:c>
      <x:c r="G86" s="9" t="str">
        <x:v>server/src/crm/blacklist.service.spec.ts::bans a lead too</x:v>
      </x:c>
      <x:c r="H86" s="9" t="str">
        <x:v>Server</x:v>
      </x:c>
      <x:c r="I86" s="9" t="str">
        <x:v>server/src/crm/blacklist.service.spec.ts</x:v>
      </x:c>
      <x:c r="J86" s="9" t="str">
        <x:v>BlacklistService bans a lead too — the app account may hang off either half</x:v>
      </x:c>
      <x:c r="K86" s="9" t="str">
        <x:v>PASS</x:v>
      </x:c>
      <x:c r="L86" s="9" t="str">
        <x:v>evidence/server-test-json-final-156.json</x:v>
      </x:c>
    </x:row>
    <x:row r="87">
      <x:c r="A87" s="9" t="str">
        <x:v>CRM-010</x:v>
      </x:c>
      <x:c r="B87" s="9" t="str">
        <x:v>CRM Clients</x:v>
      </x:c>
      <x:c r="C87" s="9" t="str">
        <x:v>Phone review queue</x:v>
      </x:c>
      <x:c r="D87" s="9" t="str">
        <x:v>PASS</x:v>
      </x:c>
      <x:c r="E87" s="9" t="str">
        <x:v>AUTOMATED</x:v>
      </x:c>
      <x:c r="F87" s="9" t="str">
        <x:v>—</x:v>
      </x:c>
      <x:c r="G87" s="9" t="str">
        <x:v>server/src/crm/phone-review.service.spec.ts::lists open phone-review-queue rows</x:v>
      </x:c>
      <x:c r="H87" s="9" t="str">
        <x:v>Server</x:v>
      </x:c>
      <x:c r="I87" s="9" t="str">
        <x:v>server/src/crm/phone-review.service.spec.ts</x:v>
      </x:c>
      <x:c r="J87" s="9" t="str">
        <x:v>PhoneReviewService lists open phone-review-queue rows</x:v>
      </x:c>
      <x:c r="K87" s="9" t="str">
        <x:v>PASS</x:v>
      </x:c>
      <x:c r="L87" s="9" t="str">
        <x:v>evidence/server-test-json-final-156.json</x:v>
      </x:c>
    </x:row>
    <x:row r="88">
      <x:c r="A88" s="9" t="str">
        <x:v>CRM-011</x:v>
      </x:c>
      <x:c r="B88" s="9" t="str">
        <x:v>CRM Clients</x:v>
      </x:c>
      <x:c r="C88" s="9" t="str">
        <x:v>Duplicate review</x:v>
      </x:c>
      <x:c r="D88" s="9" t="str">
        <x:v>PASS</x:v>
      </x:c>
      <x:c r="E88" s="9" t="str">
        <x:v>AUTOMATED</x:v>
      </x:c>
      <x:c r="F88" s="9" t="str">
        <x:v>—</x:v>
      </x:c>
      <x:c r="G88" s="9" t="str">
        <x:v>server/src/crm/duplicates.service.spec.ts::lists and decides duplicate candidates</x:v>
      </x:c>
      <x:c r="H88" s="9" t="str">
        <x:v>Server</x:v>
      </x:c>
      <x:c r="I88" s="9" t="str">
        <x:v>server/src/crm/duplicates.service.spec.ts</x:v>
      </x:c>
      <x:c r="J88" s="9" t="str">
        <x:v>DuplicatesService lists and decides duplicate candidates with safe lead-student attach</x:v>
      </x:c>
      <x:c r="K88" s="9" t="str">
        <x:v>PASS</x:v>
      </x:c>
      <x:c r="L88" s="9" t="str">
        <x:v>evidence/server-test-json-final-156.json</x:v>
      </x:c>
    </x:row>
    <x:row r="89">
      <x:c r="A89" s="9" t="str">
        <x:v>CRM-012</x:v>
      </x:c>
      <x:c r="B89" s="9" t="str">
        <x:v>CRM Clients</x:v>
      </x:c>
      <x:c r="C89" s="9" t="str">
        <x:v>Merge clients</x:v>
      </x:c>
      <x:c r="D89" s="9" t="str">
        <x:v>PASS</x:v>
      </x:c>
      <x:c r="E89" s="9" t="str">
        <x:v>AUTOMATED</x:v>
      </x:c>
      <x:c r="F89" s="9" t="str">
        <x:v>—</x:v>
      </x:c>
      <x:c r="G89" s="9" t="str">
        <x:v>server/src/crm/merge.service.spec.ts::mergeLeads re-points references, soft-deletes the loser, and logs</x:v>
      </x:c>
      <x:c r="H89" s="9" t="str">
        <x:v>Server</x:v>
      </x:c>
      <x:c r="I89" s="9" t="str">
        <x:v>server/src/crm/merge.service.spec.ts</x:v>
      </x:c>
      <x:c r="J89" s="9" t="str">
        <x:v>MergeService mergeLeads re-points references, soft-deletes the loser, and logs</x:v>
      </x:c>
      <x:c r="K89" s="9" t="str">
        <x:v>PASS</x:v>
      </x:c>
      <x:c r="L89" s="9" t="str">
        <x:v>evidence/server-test-json-final-156.json</x:v>
      </x:c>
    </x:row>
    <x:row r="90">
      <x:c r="A90" s="9" t="str">
        <x:v>CRM-013</x:v>
      </x:c>
      <x:c r="B90" s="9" t="str">
        <x:v>CRM Clients</x:v>
      </x:c>
      <x:c r="C90" s="9" t="str">
        <x:v>Undo merge</x:v>
      </x:c>
      <x:c r="D90" s="9" t="str">
        <x:v>PASS</x:v>
      </x:c>
      <x:c r="E90" s="9" t="str">
        <x:v>AUTOMATED</x:v>
      </x:c>
      <x:c r="F90" s="9" t="str">
        <x:v>—</x:v>
      </x:c>
      <x:c r="G90" s="9" t="str">
        <x:v>server/src/crm/merge.service.spec.ts::undoMerge reverses captured rows, restores the loser</x:v>
      </x:c>
      <x:c r="H90" s="9" t="str">
        <x:v>Server</x:v>
      </x:c>
      <x:c r="I90" s="9" t="str">
        <x:v>server/src/crm/merge.service.spec.ts</x:v>
      </x:c>
      <x:c r="J90" s="9" t="str">
        <x:v>MergeService undoMerge reverses captured rows, restores the loser, and stamps undone</x:v>
      </x:c>
      <x:c r="K90" s="9" t="str">
        <x:v>PASS</x:v>
      </x:c>
      <x:c r="L90" s="9" t="str">
        <x:v>evidence/server-test-json-final-156.json</x:v>
      </x:c>
    </x:row>
    <x:row r="91">
      <x:c r="A91" s="9" t="str">
        <x:v>CRM-014</x:v>
      </x:c>
      <x:c r="B91" s="9" t="str">
        <x:v>CRM Clients</x:v>
      </x:c>
      <x:c r="C91" s="9" t="str">
        <x:v>Convert Lead</x:v>
      </x:c>
      <x:c r="D91" s="9" t="str">
        <x:v>PASS</x:v>
      </x:c>
      <x:c r="E91" s="9" t="str">
        <x:v>AUTOMATED</x:v>
      </x:c>
      <x:c r="F91" s="9" t="str">
        <x:v>—</x:v>
      </x:c>
      <x:c r="G91" s="9" t="str">
        <x:v>server/src/crm/clients/conversion-postgres.integration.spec.ts::creates one Student/link concurrently, preserves data, and archives only the Lead</x:v>
      </x:c>
      <x:c r="H91" s="9" t="str">
        <x:v>Server</x:v>
      </x:c>
      <x:c r="I91" s="9" t="str">
        <x:v>server/src/crm/clients/conversion-postgres.integration.spec.ts</x:v>
      </x:c>
      <x:c r="J91" s="9" t="str">
        <x:v>Lead to Student conversion (PostgreSQL) creates one Student/link concurrently, preserves data, and archives only the Lead</x:v>
      </x:c>
      <x:c r="K91" s="9" t="str">
        <x:v>PASS</x:v>
      </x:c>
      <x:c r="L91" s="9" t="str">
        <x:v>evidence/server-test-json-final-156.json</x:v>
      </x:c>
    </x:row>
    <x:row r="92">
      <x:c r="A92" s="9" t="str">
        <x:v>CRM-015</x:v>
      </x:c>
      <x:c r="B92" s="9" t="str">
        <x:v>CRM Clients</x:v>
      </x:c>
      <x:c r="C92" s="9" t="str">
        <x:v>Archive source Lead</x:v>
      </x:c>
      <x:c r="D92" s="9" t="str">
        <x:v>PASS</x:v>
      </x:c>
      <x:c r="E92" s="9" t="str">
        <x:v>AUTOMATED</x:v>
      </x:c>
      <x:c r="F92" s="9" t="str">
        <x:v>—</x:v>
      </x:c>
      <x:c r="G92" s="9" t="str">
        <x:v>server/src/crm/clients/archive-postgres.integration.spec.ts::denies Admin, requires versioned confirmation, and preserves every linked fact</x:v>
      </x:c>
      <x:c r="H92" s="9" t="str">
        <x:v>Server</x:v>
      </x:c>
      <x:c r="I92" s="9" t="str">
        <x:v>server/src/crm/clients/archive-postgres.integration.spec.ts</x:v>
      </x:c>
      <x:c r="J92" s="9" t="str">
        <x:v>Client archive preview and tombstone (PostgreSQL) denies Admin, requires versioned confirmation, and preserves every linked fact</x:v>
      </x:c>
      <x:c r="K92" s="9" t="str">
        <x:v>PASS</x:v>
      </x:c>
      <x:c r="L92" s="9" t="str">
        <x:v>evidence/server-test-json-final-156.json</x:v>
      </x:c>
    </x:row>
    <x:row r="93">
      <x:c r="A93" s="9" t="str">
        <x:v>CRM-016</x:v>
      </x:c>
      <x:c r="B93" s="9" t="str">
        <x:v>CRM Clients</x:v>
      </x:c>
      <x:c r="C93" s="9" t="str">
        <x:v>Client archive preview</x:v>
      </x:c>
      <x:c r="D93" s="9" t="str">
        <x:v>PASS</x:v>
      </x:c>
      <x:c r="E93" s="9" t="str">
        <x:v>AUTOMATED</x:v>
      </x:c>
      <x:c r="F93" s="9" t="str">
        <x:v>—</x:v>
      </x:c>
      <x:c r="G93" s="9" t="str">
        <x:v>server/src/crm/clients/archive-postgres.integration.spec.ts::denies Admin, requires versioned confirmation, and preserves every linked fact</x:v>
      </x:c>
      <x:c r="H93" s="9" t="str">
        <x:v>Server</x:v>
      </x:c>
      <x:c r="I93" s="9" t="str">
        <x:v>server/src/crm/clients/archive-postgres.integration.spec.ts</x:v>
      </x:c>
      <x:c r="J93" s="9" t="str">
        <x:v>Client archive preview and tombstone (PostgreSQL) denies Admin, requires versioned confirmation, and preserves every linked fact</x:v>
      </x:c>
      <x:c r="K93" s="9" t="str">
        <x:v>PASS</x:v>
      </x:c>
      <x:c r="L93" s="9" t="str">
        <x:v>evidence/server-test-json-final-156.json</x:v>
      </x:c>
    </x:row>
    <x:row r="94">
      <x:c r="A94" s="9" t="str">
        <x:v>CRM-017</x:v>
      </x:c>
      <x:c r="B94" s="9" t="str">
        <x:v>CRM Clients</x:v>
      </x:c>
      <x:c r="C94" s="9" t="str">
        <x:v>Archive client</x:v>
      </x:c>
      <x:c r="D94" s="9" t="str">
        <x:v>PASS</x:v>
      </x:c>
      <x:c r="E94" s="9" t="str">
        <x:v>AUTOMATED</x:v>
      </x:c>
      <x:c r="F94" s="9" t="str">
        <x:v>—</x:v>
      </x:c>
      <x:c r="G94" s="9" t="str">
        <x:v>server/src/crm/clients/archive-postgres.integration.spec.ts::denies Admin, requires versioned confirmation, and preserves every linked fact</x:v>
      </x:c>
      <x:c r="H94" s="9" t="str">
        <x:v>Server</x:v>
      </x:c>
      <x:c r="I94" s="9" t="str">
        <x:v>server/src/crm/clients/archive-postgres.integration.spec.ts</x:v>
      </x:c>
      <x:c r="J94" s="9" t="str">
        <x:v>Client archive preview and tombstone (PostgreSQL) denies Admin, requires versioned confirmation, and preserves every linked fact</x:v>
      </x:c>
      <x:c r="K94" s="9" t="str">
        <x:v>PASS</x:v>
      </x:c>
      <x:c r="L94" s="9" t="str">
        <x:v>evidence/server-test-json-final-156.json</x:v>
      </x:c>
    </x:row>
    <x:row r="95">
      <x:c r="A95" s="9" t="str">
        <x:v>CRM-018</x:v>
      </x:c>
      <x:c r="B95" s="9" t="str">
        <x:v>CRM Clients</x:v>
      </x:c>
      <x:c r="C95" s="9" t="str">
        <x:v>Student list</x:v>
      </x:c>
      <x:c r="D95" s="9" t="str">
        <x:v>PASS</x:v>
      </x:c>
      <x:c r="E95" s="9" t="str">
        <x:v>AUTOMATED + DEVICE</x:v>
      </x:c>
      <x:c r="F95" s="9" t="str">
        <x:v>RUN-A-032</x:v>
      </x:c>
      <x:c r="G95" s="9" t="str">
        <x:v>test/features/v4/client_card_roles_test.dart::Teacher card renders only learning sections on narrow layout</x:v>
      </x:c>
      <x:c r="H95" s="9" t="str">
        <x:v>Flutter</x:v>
      </x:c>
      <x:c r="I95" s="9" t="str">
        <x:v>test/features/v4/client_card_roles_test.dart</x:v>
      </x:c>
      <x:c r="J95" s="9" t="str">
        <x:v>Teacher card renders only learning sections on narrow layout</x:v>
      </x:c>
      <x:c r="K95" s="9" t="str">
        <x:v>PASS</x:v>
      </x:c>
      <x:c r="L95" s="9" t="str">
        <x:v>evidence/flutter-test-machine-final-156.ndjson</x:v>
      </x:c>
    </x:row>
    <x:row r="96">
      <x:c r="A96" s="9" t="str">
        <x:v>CRM-019</x:v>
      </x:c>
      <x:c r="B96" s="9" t="str">
        <x:v>CRM Clients</x:v>
      </x:c>
      <x:c r="C96" s="9" t="str">
        <x:v>Student search typing</x:v>
      </x:c>
      <x:c r="D96" s="9" t="str">
        <x:v>PASS</x:v>
      </x:c>
      <x:c r="E96" s="9" t="str">
        <x:v>AUTOMATED + DEVICE</x:v>
      </x:c>
      <x:c r="F96" s="9" t="str">
        <x:v>RUN-A-021</x:v>
      </x:c>
      <x:c r="G96" s="9" t="str">
        <x:v>test/features/manager/realtime_poll_ux_test.dart::student search is local and keeps focus while typing</x:v>
      </x:c>
      <x:c r="H96" s="9" t="str">
        <x:v>Flutter</x:v>
      </x:c>
      <x:c r="I96" s="9" t="str">
        <x:v>test/features/manager/realtime_poll_ux_test.dart</x:v>
      </x:c>
      <x:c r="J96" s="9" t="str">
        <x:v>student search is local and keeps focus while typing</x:v>
      </x:c>
      <x:c r="K96" s="9" t="str">
        <x:v>PASS</x:v>
      </x:c>
      <x:c r="L96" s="9" t="str">
        <x:v>evidence/flutter-test-machine-final-156.ndjson</x:v>
      </x:c>
    </x:row>
    <x:row r="97">
      <x:c r="A97" s="9" t="str">
        <x:v>CRM-020</x:v>
      </x:c>
      <x:c r="B97" s="9" t="str">
        <x:v>CRM Clients</x:v>
      </x:c>
      <x:c r="C97" s="9" t="str">
        <x:v>Create Student</x:v>
      </x:c>
      <x:c r="D97" s="9" t="str">
        <x:v>PASS</x:v>
      </x:c>
      <x:c r="E97" s="9" t="str">
        <x:v>AUTOMATED</x:v>
      </x:c>
      <x:c r="F97" s="9" t="str">
        <x:v>—</x:v>
      </x:c>
      <x:c r="G97" s="9" t="str">
        <x:v>test/core/services/magic_crm_service_test.dart::creates students teachers and staff through v3 API</x:v>
      </x:c>
      <x:c r="H97" s="9" t="str">
        <x:v>Flutter</x:v>
      </x:c>
      <x:c r="I97" s="9" t="str">
        <x:v>test/core/services/magic_crm_service_test.dart</x:v>
      </x:c>
      <x:c r="J97" s="9" t="str">
        <x:v>MagicCrmService creates students teachers and staff through v3 API</x:v>
      </x:c>
      <x:c r="K97" s="9" t="str">
        <x:v>PASS</x:v>
      </x:c>
      <x:c r="L97" s="9" t="str">
        <x:v>evidence/flutter-test-machine-final-156.ndjson</x:v>
      </x:c>
    </x:row>
    <x:row r="98">
      <x:c r="A98" s="9" t="str">
        <x:v>CRM-021</x:v>
      </x:c>
      <x:c r="B98" s="9" t="str">
        <x:v>CRM Clients</x:v>
      </x:c>
      <x:c r="C98" s="9" t="str">
        <x:v>Edit Student</x:v>
      </x:c>
      <x:c r="D98" s="9" t="str">
        <x:v>PASS</x:v>
      </x:c>
      <x:c r="E98" s="9" t="str">
        <x:v>AUTOMATED</x:v>
      </x:c>
      <x:c r="F98" s="9" t="str">
        <x:v>—</x:v>
      </x:c>
      <x:c r="G98" s="9" t="str">
        <x:v>test/core/services/magic_crm_service_test.dart::gets updates students and creates comments through v3 API</x:v>
      </x:c>
      <x:c r="H98" s="9" t="str">
        <x:v>Flutter</x:v>
      </x:c>
      <x:c r="I98" s="9" t="str">
        <x:v>test/core/services/magic_crm_service_test.dart</x:v>
      </x:c>
      <x:c r="J98" s="9" t="str">
        <x:v>MagicCrmService gets updates students and creates comments through v3 API</x:v>
      </x:c>
      <x:c r="K98" s="9" t="str">
        <x:v>PASS</x:v>
      </x:c>
      <x:c r="L98" s="9" t="str">
        <x:v>evidence/flutter-test-machine-final-156.ndjson</x:v>
      </x:c>
    </x:row>
    <x:row r="99">
      <x:c r="A99" s="9" t="str">
        <x:v>CRM-022</x:v>
      </x:c>
      <x:c r="B99" s="9" t="str">
        <x:v>CRM Clients</x:v>
      </x:c>
      <x:c r="C99" s="9" t="str">
        <x:v>Move Student stage</x:v>
      </x:c>
      <x:c r="D99" s="9" t="str">
        <x:v>PASS</x:v>
      </x:c>
      <x:c r="E99" s="9" t="str">
        <x:v>AUTOMATED</x:v>
      </x:c>
      <x:c r="F99" s="9" t="str">
        <x:v>—</x:v>
      </x:c>
      <x:c r="G99" s="9" t="str">
        <x:v>server/src/crm/crm.service.spec.ts::records a student_status_history row when status changes</x:v>
      </x:c>
      <x:c r="H99" s="9" t="str">
        <x:v>Server</x:v>
      </x:c>
      <x:c r="I99" s="9" t="str">
        <x:v>server/src/crm/crm.service.spec.ts</x:v>
      </x:c>
      <x:c r="J99" s="9" t="str">
        <x:v>CrmService records a student_status_history row when status changes</x:v>
      </x:c>
      <x:c r="K99" s="9" t="str">
        <x:v>PASS</x:v>
      </x:c>
      <x:c r="L99" s="9" t="str">
        <x:v>evidence/server-test-json-final-156.json</x:v>
      </x:c>
    </x:row>
    <x:row r="100">
      <x:c r="A100" s="9" t="str">
        <x:v>CRM-023</x:v>
      </x:c>
      <x:c r="B100" s="9" t="str">
        <x:v>CRM Clients</x:v>
      </x:c>
      <x:c r="C100" s="9" t="str">
        <x:v>Return Student to Lead</x:v>
      </x:c>
      <x:c r="D100" s="9" t="str">
        <x:v>PASS</x:v>
      </x:c>
      <x:c r="E100" s="9" t="str">
        <x:v>AUTOMATED</x:v>
      </x:c>
      <x:c r="F100" s="9" t="str">
        <x:v>—</x:v>
      </x:c>
      <x:c r="G100" s="9" t="str">
        <x:v>server/src/crm/crm.service.spec.ts::returns a linked student back to its existing lead</x:v>
      </x:c>
      <x:c r="H100" s="9" t="str">
        <x:v>Server</x:v>
      </x:c>
      <x:c r="I100" s="9" t="str">
        <x:v>server/src/crm/crm.service.spec.ts</x:v>
      </x:c>
      <x:c r="J100" s="9" t="str">
        <x:v>CrmService returns a linked student back to its existing lead</x:v>
      </x:c>
      <x:c r="K100" s="9" t="str">
        <x:v>PASS</x:v>
      </x:c>
      <x:c r="L100" s="9" t="str">
        <x:v>evidence/server-test-json-final-156.json</x:v>
      </x:c>
    </x:row>
    <x:row r="101">
      <x:c r="A101" s="9" t="str">
        <x:v>CRM-024</x:v>
      </x:c>
      <x:c r="B101" s="9" t="str">
        <x:v>CRM Clients</x:v>
      </x:c>
      <x:c r="C101" s="9" t="str">
        <x:v>Invite Student</x:v>
      </x:c>
      <x:c r="D101" s="9" t="str">
        <x:v>PASS</x:v>
      </x:c>
      <x:c r="E101" s="9" t="str">
        <x:v>AUTOMATED</x:v>
      </x:c>
      <x:c r="F101" s="9" t="str">
        <x:v>—</x:v>
      </x:c>
      <x:c r="G101" s="9" t="str">
        <x:v>server/src/crm/crm.service.spec.ts::queues student invitation email without activating app account</x:v>
      </x:c>
      <x:c r="H101" s="9" t="str">
        <x:v>Server</x:v>
      </x:c>
      <x:c r="I101" s="9" t="str">
        <x:v>server/src/crm/crm.service.spec.ts</x:v>
      </x:c>
      <x:c r="J101" s="9" t="str">
        <x:v>CrmService queues student invitation email without activating app account</x:v>
      </x:c>
      <x:c r="K101" s="9" t="str">
        <x:v>PASS</x:v>
      </x:c>
      <x:c r="L101" s="9" t="str">
        <x:v>evidence/server-test-json-final-156.json</x:v>
      </x:c>
    </x:row>
    <x:row r="102">
      <x:c r="A102" s="9" t="str">
        <x:v>CRM-025</x:v>
      </x:c>
      <x:c r="B102" s="9" t="str">
        <x:v>CRM Clients</x:v>
      </x:c>
      <x:c r="C102" s="9" t="str">
        <x:v>Open client workspace</x:v>
      </x:c>
      <x:c r="D102" s="9" t="str">
        <x:v>PASS</x:v>
      </x:c>
      <x:c r="E102" s="9" t="str">
        <x:v>AUTOMATED + DEVICE</x:v>
      </x:c>
      <x:c r="F102" s="9" t="str">
        <x:v>RUN-R-007</x:v>
      </x:c>
      <x:c r="G102" s="9" t="str">
        <x:v>test/features/v6/client_workspace_route_test.dart::production desktop host mounts the routed client workspace</x:v>
      </x:c>
      <x:c r="H102" s="9" t="str">
        <x:v>Flutter</x:v>
      </x:c>
      <x:c r="I102" s="9" t="str">
        <x:v>test/features/v6/client_workspace_route_test.dart</x:v>
      </x:c>
      <x:c r="J102" s="9" t="str">
        <x:v>production desktop host mounts the routed client workspace</x:v>
      </x:c>
      <x:c r="K102" s="9" t="str">
        <x:v>PASS</x:v>
      </x:c>
      <x:c r="L102" s="9" t="str">
        <x:v>evidence/flutter-test-machine-final-156.ndjson</x:v>
      </x:c>
    </x:row>
    <x:row r="103">
      <x:c r="A103" s="9" t="str">
        <x:v>CRM-026</x:v>
      </x:c>
      <x:c r="B103" s="9" t="str">
        <x:v>CRM Clients</x:v>
      </x:c>
      <x:c r="C103" s="9" t="str">
        <x:v>Client tab navigation</x:v>
      </x:c>
      <x:c r="D103" s="9" t="str">
        <x:v>PASS</x:v>
      </x:c>
      <x:c r="E103" s="9" t="str">
        <x:v>AUTOMATED</x:v>
      </x:c>
      <x:c r="F103" s="9" t="str">
        <x:v>—</x:v>
      </x:c>
      <x:c r="G103" s="9" t="str">
        <x:v>test/features/v6/client_workspace_route_test.dart::admin fills 840 and restores section</x:v>
      </x:c>
      <x:c r="H103" s="9" t="str">
        <x:v>Flutter</x:v>
      </x:c>
      <x:c r="I103" s="9" t="str">
        <x:v>test/features/v6/client_workspace_route_test.dart</x:v>
      </x:c>
      <x:c r="J103" s="9" t="str">
        <x:v>admin fills 840 and restores section</x:v>
      </x:c>
      <x:c r="K103" s="9" t="str">
        <x:v>PASS</x:v>
      </x:c>
      <x:c r="L103" s="9" t="str">
        <x:v>evidence/flutter-test-machine-final-156.ndjson</x:v>
      </x:c>
    </x:row>
    <x:row r="104">
      <x:c r="A104" s="9" t="str">
        <x:v>CRM-027</x:v>
      </x:c>
      <x:c r="B104" s="9" t="str">
        <x:v>CRM Clients</x:v>
      </x:c>
      <x:c r="C104" s="9" t="str">
        <x:v>Client timeline</x:v>
      </x:c>
      <x:c r="D104" s="9" t="str">
        <x:v>PASS</x:v>
      </x:c>
      <x:c r="E104" s="9" t="str">
        <x:v>AUTOMATED</x:v>
      </x:c>
      <x:c r="F104" s="9" t="str">
        <x:v>—</x:v>
      </x:c>
      <x:c r="G104" s="9" t="str">
        <x:v>server/src/crm/leads.service.spec.ts::returns lead card aggregate with linked records and timeline</x:v>
      </x:c>
      <x:c r="H104" s="9" t="str">
        <x:v>Server</x:v>
      </x:c>
      <x:c r="I104" s="9" t="str">
        <x:v>server/src/crm/leads.service.spec.ts</x:v>
      </x:c>
      <x:c r="J104" s="9" t="str">
        <x:v>LeadsService returns lead card aggregate with linked records and timeline</x:v>
      </x:c>
      <x:c r="K104" s="9" t="str">
        <x:v>PASS</x:v>
      </x:c>
      <x:c r="L104" s="9" t="str">
        <x:v>evidence/server-test-json-final-156.json</x:v>
      </x:c>
    </x:row>
    <x:row r="105">
      <x:c r="A105" s="9" t="str">
        <x:v>CRM-028</x:v>
      </x:c>
      <x:c r="B105" s="9" t="str">
        <x:v>CRM Clients</x:v>
      </x:c>
      <x:c r="C105" s="9" t="str">
        <x:v>Client comments</x:v>
      </x:c>
      <x:c r="D105" s="9" t="str">
        <x:v>PASS</x:v>
      </x:c>
      <x:c r="E105" s="9" t="str">
        <x:v>AUTOMATED</x:v>
      </x:c>
      <x:c r="F105" s="9" t="str">
        <x:v>—</x:v>
      </x:c>
      <x:c r="G105" s="9" t="str">
        <x:v>server/src/crm/clients/client-card.integration.spec.ts::returns only assigned learning context and shared comments to Teacher</x:v>
      </x:c>
      <x:c r="H105" s="9" t="str">
        <x:v>Server</x:v>
      </x:c>
      <x:c r="I105" s="9" t="str">
        <x:v>server/src/crm/clients/client-card.integration.spec.ts</x:v>
      </x:c>
      <x:c r="J105" s="9" t="str">
        <x:v>ClientCardReadService (PostgreSQL) returns only assigned learning context and shared comments to Teacher</x:v>
      </x:c>
      <x:c r="K105" s="9" t="str">
        <x:v>PASS</x:v>
      </x:c>
      <x:c r="L105" s="9" t="str">
        <x:v>evidence/server-test-json-final-156.json</x:v>
      </x:c>
    </x:row>
    <x:row r="106">
      <x:c r="A106" s="9" t="str">
        <x:v>CRM-029</x:v>
      </x:c>
      <x:c r="B106" s="9" t="str">
        <x:v>CRM Clients</x:v>
      </x:c>
      <x:c r="C106" s="9" t="str">
        <x:v>Comment visibility</x:v>
      </x:c>
      <x:c r="D106" s="9" t="str">
        <x:v>PASS</x:v>
      </x:c>
      <x:c r="E106" s="9" t="str">
        <x:v>AUTOMATED</x:v>
      </x:c>
      <x:c r="F106" s="9" t="str">
        <x:v>—</x:v>
      </x:c>
      <x:c r="G106" s="9" t="str">
        <x:v>server/src/crm/clients/comment-sharing-postgres.integration.spec.ts::returns only explicitly shared comments to an assigned teacher</x:v>
      </x:c>
      <x:c r="H106" s="9" t="str">
        <x:v>Server</x:v>
      </x:c>
      <x:c r="I106" s="9" t="str">
        <x:v>server/src/crm/clients/comment-sharing-postgres.integration.spec.ts</x:v>
      </x:c>
      <x:c r="J106" s="9" t="str">
        <x:v>Comment sharing (PostgreSQL) returns only explicitly shared comments to an assigned teacher</x:v>
      </x:c>
      <x:c r="K106" s="9" t="str">
        <x:v>PASS</x:v>
      </x:c>
      <x:c r="L106" s="9" t="str">
        <x:v>evidence/server-test-json-final-156.json</x:v>
      </x:c>
    </x:row>
    <x:row r="107">
      <x:c r="A107" s="9" t="str">
        <x:v>CRM-030</x:v>
      </x:c>
      <x:c r="B107" s="9" t="str">
        <x:v>CRM Clients</x:v>
      </x:c>
      <x:c r="C107" s="9" t="str">
        <x:v>Family</x:v>
      </x:c>
      <x:c r="D107" s="9" t="str">
        <x:v>PASS</x:v>
      </x:c>
      <x:c r="E107" s="9" t="str">
        <x:v>AUTOMATED</x:v>
      </x:c>
      <x:c r="F107" s="9" t="str">
        <x:v>—</x:v>
      </x:c>
      <x:c r="G107" s="9" t="str">
        <x:v>server/src/crm/family.service.spec.ts::returns a family with members and resolved names</x:v>
      </x:c>
      <x:c r="H107" s="9" t="str">
        <x:v>Server</x:v>
      </x:c>
      <x:c r="I107" s="9" t="str">
        <x:v>server/src/crm/family.service.spec.ts</x:v>
      </x:c>
      <x:c r="J107" s="9" t="str">
        <x:v>FamilyService returns a family with members and resolved names for an entity</x:v>
      </x:c>
      <x:c r="K107" s="9" t="str">
        <x:v>PASS</x:v>
      </x:c>
      <x:c r="L107" s="9" t="str">
        <x:v>evidence/server-test-json-final-156.json</x:v>
      </x:c>
    </x:row>
    <x:row r="108">
      <x:c r="A108" s="9" t="str">
        <x:v>CRM-031</x:v>
      </x:c>
      <x:c r="B108" s="9" t="str">
        <x:v>CRM Clients</x:v>
      </x:c>
      <x:c r="C108" s="9" t="str">
        <x:v>Linked user</x:v>
      </x:c>
      <x:c r="D108" s="9" t="str">
        <x:v>PASS</x:v>
      </x:c>
      <x:c r="E108" s="9" t="str">
        <x:v>AUTOMATED</x:v>
      </x:c>
      <x:c r="F108" s="9" t="str">
        <x:v>—</x:v>
      </x:c>
      <x:c r="G108" s="9" t="str">
        <x:v>server/src/crm/client-linking.service.spec.ts::linkUserToClient inserts a manual link, audits, and returns linked users</x:v>
      </x:c>
      <x:c r="H108" s="9" t="str">
        <x:v>Server</x:v>
      </x:c>
      <x:c r="I108" s="9" t="str">
        <x:v>server/src/crm/client-linking.service.spec.ts</x:v>
      </x:c>
      <x:c r="J108" s="9" t="str">
        <x:v>ClientLinkingService linkUserToClient inserts a manual link, audits, and returns linked users</x:v>
      </x:c>
      <x:c r="K108" s="9" t="str">
        <x:v>PASS</x:v>
      </x:c>
      <x:c r="L108" s="9" t="str">
        <x:v>evidence/server-test-json-final-156.json</x:v>
      </x:c>
    </x:row>
    <x:row r="109">
      <x:c r="A109" s="9" t="str">
        <x:v>CRM-032</x:v>
      </x:c>
      <x:c r="B109" s="9" t="str">
        <x:v>CRM Clients</x:v>
      </x:c>
      <x:c r="C109" s="9" t="str">
        <x:v>Client groups</x:v>
      </x:c>
      <x:c r="D109" s="9" t="str">
        <x:v>PASS</x:v>
      </x:c>
      <x:c r="E109" s="9" t="str">
        <x:v>AUTOMATED</x:v>
      </x:c>
      <x:c r="F109" s="9" t="str">
        <x:v>—</x:v>
      </x:c>
      <x:c r="G109" s="9" t="str">
        <x:v>test/core/services/magic_crm_service_test.dart::lists student groups through v3 API</x:v>
      </x:c>
      <x:c r="H109" s="9" t="str">
        <x:v>Flutter</x:v>
      </x:c>
      <x:c r="I109" s="9" t="str">
        <x:v>test/core/services/magic_crm_service_test.dart</x:v>
      </x:c>
      <x:c r="J109" s="9" t="str">
        <x:v>MagicCrmService lists student groups through v3 API</x:v>
      </x:c>
      <x:c r="K109" s="9" t="str">
        <x:v>PASS</x:v>
      </x:c>
      <x:c r="L109" s="9" t="str">
        <x:v>evidence/flutter-test-machine-final-156.ndjson</x:v>
      </x:c>
    </x:row>
    <x:row r="110">
      <x:c r="A110" s="9" t="str">
        <x:v>CRM-033</x:v>
      </x:c>
      <x:c r="B110" s="9" t="str">
        <x:v>CRM Clients</x:v>
      </x:c>
      <x:c r="C110" s="9" t="str">
        <x:v>Homework create</x:v>
      </x:c>
      <x:c r="D110" s="9" t="str">
        <x:v>PASS</x:v>
      </x:c>
      <x:c r="E110" s="9" t="str">
        <x:v>AUTOMATED</x:v>
      </x:c>
      <x:c r="F110" s="9" t="str">
        <x:v>—</x:v>
      </x:c>
      <x:c r="G110" s="9" t="str">
        <x:v>server/src/crm/homework.service.spec.ts::creates a homework through operational-data policy and audit</x:v>
      </x:c>
      <x:c r="H110" s="9" t="str">
        <x:v>Server</x:v>
      </x:c>
      <x:c r="I110" s="9" t="str">
        <x:v>server/src/crm/homework.service.spec.ts</x:v>
      </x:c>
      <x:c r="J110" s="9" t="str">
        <x:v>HomeworkService creates a homework through operational-data policy and audit (P5c)</x:v>
      </x:c>
      <x:c r="K110" s="9" t="str">
        <x:v>PASS</x:v>
      </x:c>
      <x:c r="L110" s="9" t="str">
        <x:v>evidence/server-test-json-final-156.json</x:v>
      </x:c>
    </x:row>
    <x:row r="111">
      <x:c r="A111" s="9" t="str">
        <x:v>CRM-034</x:v>
      </x:c>
      <x:c r="B111" s="9" t="str">
        <x:v>CRM Clients</x:v>
      </x:c>
      <x:c r="C111" s="9" t="str">
        <x:v>Homework update</x:v>
      </x:c>
      <x:c r="D111" s="9" t="str">
        <x:v>PASS</x:v>
      </x:c>
      <x:c r="E111" s="9" t="str">
        <x:v>AUTOMATED</x:v>
      </x:c>
      <x:c r="F111" s="9" t="str">
        <x:v>—</x:v>
      </x:c>
      <x:c r="G111" s="9" t="str">
        <x:v>server/src/crm/homework.service.spec.ts::publishes an updated homework to its address-scoped audience</x:v>
      </x:c>
      <x:c r="H111" s="9" t="str">
        <x:v>Server</x:v>
      </x:c>
      <x:c r="I111" s="9" t="str">
        <x:v>server/src/crm/homework.service.spec.ts</x:v>
      </x:c>
      <x:c r="J111" s="9" t="str">
        <x:v>HomeworkService publishes an updated homework to its address-scoped audience</x:v>
      </x:c>
      <x:c r="K111" s="9" t="str">
        <x:v>PASS</x:v>
      </x:c>
      <x:c r="L111" s="9" t="str">
        <x:v>evidence/server-test-json-final-156.json</x:v>
      </x:c>
    </x:row>
    <x:row r="112">
      <x:c r="A112" s="9" t="str">
        <x:v>CRM-035</x:v>
      </x:c>
      <x:c r="B112" s="9" t="str">
        <x:v>CRM Clients</x:v>
      </x:c>
      <x:c r="C112" s="9" t="str">
        <x:v>Homework attachment</x:v>
      </x:c>
      <x:c r="D112" s="9" t="str">
        <x:v>PASS</x:v>
      </x:c>
      <x:c r="E112" s="9" t="str">
        <x:v>AUTOMATED</x:v>
      </x:c>
      <x:c r="F112" s="9" t="str">
        <x:v>—</x:v>
      </x:c>
      <x:c r="G112" s="9" t="str">
        <x:v>server/src/files/file-validator.service.spec.ts::accepts a homework attachment at the 25MB limit</x:v>
      </x:c>
      <x:c r="H112" s="9" t="str">
        <x:v>Server</x:v>
      </x:c>
      <x:c r="I112" s="9" t="str">
        <x:v>server/src/files/file-validator.service.spec.ts</x:v>
      </x:c>
      <x:c r="J112" s="9" t="str">
        <x:v>FileValidator accepts a homework attachment at the 25MB limit (P5c)</x:v>
      </x:c>
      <x:c r="K112" s="9" t="str">
        <x:v>PASS</x:v>
      </x:c>
      <x:c r="L112" s="9" t="str">
        <x:v>evidence/server-test-json-final-156.json</x:v>
      </x:c>
    </x:row>
    <x:row r="113">
      <x:c r="A113" s="9" t="str">
        <x:v>CRM-036</x:v>
      </x:c>
      <x:c r="B113" s="9" t="str">
        <x:v>CRM Clients</x:v>
      </x:c>
      <x:c r="C113" s="9" t="str">
        <x:v>Homework submit</x:v>
      </x:c>
      <x:c r="D113" s="9" t="str">
        <x:v>PASS</x:v>
      </x:c>
      <x:c r="E113" s="9" t="str">
        <x:v>AUTOMATED</x:v>
      </x:c>
      <x:c r="F113" s="9" t="str">
        <x:v>—</x:v>
      </x:c>
      <x:c r="G113" s="9" t="str">
        <x:v>server/src/crm/homework.service.spec.ts::submits a homework as the owning client</x:v>
      </x:c>
      <x:c r="H113" s="9" t="str">
        <x:v>Server</x:v>
      </x:c>
      <x:c r="I113" s="9" t="str">
        <x:v>server/src/crm/homework.service.spec.ts</x:v>
      </x:c>
      <x:c r="J113" s="9" t="str">
        <x:v>HomeworkService submits a homework as the owning client (P5c)</x:v>
      </x:c>
      <x:c r="K113" s="9" t="str">
        <x:v>PASS</x:v>
      </x:c>
      <x:c r="L113" s="9" t="str">
        <x:v>evidence/server-test-json-final-156.json</x:v>
      </x:c>
    </x:row>
    <x:row r="114">
      <x:c r="A114" s="9" t="str">
        <x:v>CRM-037</x:v>
      </x:c>
      <x:c r="B114" s="9" t="str">
        <x:v>CRM Clients</x:v>
      </x:c>
      <x:c r="C114" s="9" t="str">
        <x:v>Preferred schedule</x:v>
      </x:c>
      <x:c r="D114" s="9" t="str">
        <x:v>PASS</x:v>
      </x:c>
      <x:c r="E114" s="9" t="str">
        <x:v>AUTOMATED</x:v>
      </x:c>
      <x:c r="F114" s="9" t="str">
        <x:v>—</x:v>
      </x:c>
      <x:c r="G114" s="9" t="str">
        <x:v>test/core/services/magic_crm_service_test.dart::client preferred schedule uses typed clientRef and finite range</x:v>
      </x:c>
      <x:c r="H114" s="9" t="str">
        <x:v>Flutter</x:v>
      </x:c>
      <x:c r="I114" s="9" t="str">
        <x:v>test/core/services/magic_crm_service_test.dart</x:v>
      </x:c>
      <x:c r="J114" s="9" t="str">
        <x:v>MagicCrmService client preferred schedule uses typed clientRef and finite range</x:v>
      </x:c>
      <x:c r="K114" s="9" t="str">
        <x:v>PASS</x:v>
      </x:c>
      <x:c r="L114" s="9" t="str">
        <x:v>evidence/flutter-test-machine-final-156.ndjson</x:v>
      </x:c>
    </x:row>
    <x:row r="115">
      <x:c r="A115" s="9" t="str">
        <x:v>PORT-001</x:v>
      </x:c>
      <x:c r="B115" s="9" t="str">
        <x:v>Client Portal</x:v>
      </x:c>
      <x:c r="C115" s="9" t="str">
        <x:v>Upcoming lessons</x:v>
      </x:c>
      <x:c r="D115" s="9" t="str">
        <x:v>PASS</x:v>
      </x:c>
      <x:c r="E115" s="9" t="str">
        <x:v>AUTOMATED + DEVICE</x:v>
      </x:c>
      <x:c r="F115" s="9" t="str">
        <x:v>RUN-A-011</x:v>
      </x:c>
      <x:c r="G115" s="9" t="str">
        <x:v>test/features/client/upcoming_lessons_trial_test.dart::клиент видит явную метку пробного урока</x:v>
      </x:c>
      <x:c r="H115" s="9" t="str">
        <x:v>Flutter</x:v>
      </x:c>
      <x:c r="I115" s="9" t="str">
        <x:v>test/features/client/upcoming_lessons_trial_test.dart</x:v>
      </x:c>
      <x:c r="J115" s="9" t="str">
        <x:v>клиент видит явную метку пробного урока</x:v>
      </x:c>
      <x:c r="K115" s="9" t="str">
        <x:v>PASS</x:v>
      </x:c>
      <x:c r="L115" s="9" t="str">
        <x:v>evidence/flutter-test-machine-final-156.ndjson</x:v>
      </x:c>
    </x:row>
    <x:row r="116">
      <x:c r="A116" s="9" t="str">
        <x:v>PORT-002</x:v>
      </x:c>
      <x:c r="B116" s="9" t="str">
        <x:v>Client Portal</x:v>
      </x:c>
      <x:c r="C116" s="9" t="str">
        <x:v>Lesson history</x:v>
      </x:c>
      <x:c r="D116" s="9" t="str">
        <x:v>PASS</x:v>
      </x:c>
      <x:c r="E116" s="9" t="str">
        <x:v>AUTOMATED + DEVICE</x:v>
      </x:c>
      <x:c r="F116" s="9" t="str">
        <x:v>RUN-A-012</x:v>
      </x:c>
      <x:c r="G116" s="9" t="str">
        <x:v>server/src/crm/schedule.service.spec.ts::orders the client history desc when asked</x:v>
      </x:c>
      <x:c r="H116" s="9" t="str">
        <x:v>Server</x:v>
      </x:c>
      <x:c r="I116" s="9" t="str">
        <x:v>server/src/crm/schedule.service.spec.ts</x:v>
      </x:c>
      <x:c r="J116" s="9" t="str">
        <x:v>ScheduleService schedule conflicts (контракты 1-2, правки №2) orders the client history desc when asked (recent lessons first)</x:v>
      </x:c>
      <x:c r="K116" s="9" t="str">
        <x:v>PASS</x:v>
      </x:c>
      <x:c r="L116" s="9" t="str">
        <x:v>evidence/server-test-json-final-156.json</x:v>
      </x:c>
    </x:row>
    <x:row r="117">
      <x:c r="A117" s="9" t="str">
        <x:v>PORT-003</x:v>
      </x:c>
      <x:c r="B117" s="9" t="str">
        <x:v>Client Portal</x:v>
      </x:c>
      <x:c r="C117" s="9" t="str">
        <x:v>Homework list</x:v>
      </x:c>
      <x:c r="D117" s="9" t="str">
        <x:v>PASS</x:v>
      </x:c>
      <x:c r="E117" s="9" t="str">
        <x:v>AUTOMATED + DEVICE</x:v>
      </x:c>
      <x:c r="F117" s="9" t="str">
        <x:v>RUN-A-013</x:v>
      </x:c>
      <x:c r="G117" s="9" t="str">
        <x:v>server/src/crm/homework.service.spec.ts::forbids submitting a homework owned by another client</x:v>
      </x:c>
      <x:c r="H117" s="9" t="str">
        <x:v>Server</x:v>
      </x:c>
      <x:c r="I117" s="9" t="str">
        <x:v>server/src/crm/homework.service.spec.ts</x:v>
      </x:c>
      <x:c r="J117" s="9" t="str">
        <x:v>HomeworkService forbids submitting a homework owned by another client (P5c)</x:v>
      </x:c>
      <x:c r="K117" s="9" t="str">
        <x:v>PASS</x:v>
      </x:c>
      <x:c r="L117" s="9" t="str">
        <x:v>evidence/server-test-json-final-156.json</x:v>
      </x:c>
    </x:row>
    <x:row r="118">
      <x:c r="A118" s="9" t="str">
        <x:v>PORT-004</x:v>
      </x:c>
      <x:c r="B118" s="9" t="str">
        <x:v>Client Portal</x:v>
      </x:c>
      <x:c r="C118" s="9" t="str">
        <x:v>Subscription summary</x:v>
      </x:c>
      <x:c r="D118" s="9" t="str">
        <x:v>PASS</x:v>
      </x:c>
      <x:c r="E118" s="9" t="str">
        <x:v>AUTOMATED + DEVICE</x:v>
      </x:c>
      <x:c r="F118" s="9" t="str">
        <x:v>RUN-A-014</x:v>
      </x:c>
      <x:c r="G118" s="9" t="str">
        <x:v>test/features/client/subscription_status_card_test.dart::renders active subscription without expiration date</x:v>
      </x:c>
      <x:c r="H118" s="9" t="str">
        <x:v>Flutter</x:v>
      </x:c>
      <x:c r="I118" s="9" t="str">
        <x:v>test/features/client/subscription_status_card_test.dart</x:v>
      </x:c>
      <x:c r="J118" s="9" t="str">
        <x:v>renders active subscription without expiration date</x:v>
      </x:c>
      <x:c r="K118" s="9" t="str">
        <x:v>PASS</x:v>
      </x:c>
      <x:c r="L118" s="9" t="str">
        <x:v>evidence/flutter-test-machine-final-156.ndjson</x:v>
      </x:c>
    </x:row>
    <x:row r="119">
      <x:c r="A119" s="9" t="str">
        <x:v>PORT-005</x:v>
      </x:c>
      <x:c r="B119" s="9" t="str">
        <x:v>Client Portal</x:v>
      </x:c>
      <x:c r="C119" s="9" t="str">
        <x:v>Payment history</x:v>
      </x:c>
      <x:c r="D119" s="9" t="str">
        <x:v>PASS</x:v>
      </x:c>
      <x:c r="E119" s="9" t="str">
        <x:v>AUTOMATED + DEVICE</x:v>
      </x:c>
      <x:c r="F119" s="9" t="str">
        <x:v>RUN-A-015</x:v>
      </x:c>
      <x:c r="G119" s="9" t="str">
        <x:v>server/src/crm/commerce/commerce-projections.contract.spec.ts::returns the separate client self envelope without embedded internals</x:v>
      </x:c>
      <x:c r="H119" s="9" t="str">
        <x:v>Server</x:v>
      </x:c>
      <x:c r="I119" s="9" t="str">
        <x:v>server/src/crm/commerce/commerce-projections.contract.spec.ts</x:v>
      </x:c>
      <x:c r="J119" s="9" t="str">
        <x:v>v4 commerce projections contract returns the separate client self envelope without embedded internals</x:v>
      </x:c>
      <x:c r="K119" s="9" t="str">
        <x:v>PASS</x:v>
      </x:c>
      <x:c r="L119" s="9" t="str">
        <x:v>evidence/server-test-json-final-156.json</x:v>
      </x:c>
    </x:row>
    <x:row r="120">
      <x:c r="A120" s="9" t="str">
        <x:v>PORT-006</x:v>
      </x:c>
      <x:c r="B120" s="9" t="str">
        <x:v>Client Portal</x:v>
      </x:c>
      <x:c r="C120" s="9" t="str">
        <x:v>Self profile</x:v>
      </x:c>
      <x:c r="D120" s="9" t="str">
        <x:v>PASS</x:v>
      </x:c>
      <x:c r="E120" s="9" t="str">
        <x:v>AUTOMATED + DEVICE</x:v>
      </x:c>
      <x:c r="F120" s="9" t="str">
        <x:v>RUN-A-016</x:v>
      </x:c>
      <x:c r="G120" s="9" t="str">
        <x:v>server/src/access-control/teacher-projection.contract.spec.ts::maps client to the isolated client_self contract</x:v>
      </x:c>
      <x:c r="H120" s="9" t="str">
        <x:v>Server</x:v>
      </x:c>
      <x:c r="I120" s="9" t="str">
        <x:v>server/src/access-control/teacher-projection.contract.spec.ts</x:v>
      </x:c>
      <x:c r="J120" s="9" t="str">
        <x:v>ActorClientProjectionFactory six-role scopes maps client to the isolated client_self contract</x:v>
      </x:c>
      <x:c r="K120" s="9" t="str">
        <x:v>PASS</x:v>
      </x:c>
      <x:c r="L120" s="9" t="str">
        <x:v>evidence/server-test-json-final-156.json</x:v>
      </x:c>
    </x:row>
    <x:row r="121">
      <x:c r="A121" s="9" t="str">
        <x:v>PORT-007</x:v>
      </x:c>
      <x:c r="B121" s="9" t="str">
        <x:v>Client Portal</x:v>
      </x:c>
      <x:c r="C121" s="9" t="str">
        <x:v>My school overview</x:v>
      </x:c>
      <x:c r="D121" s="9" t="str">
        <x:v>PASS</x:v>
      </x:c>
      <x:c r="E121" s="9" t="str">
        <x:v>AUTOMATED + DEVICE</x:v>
      </x:c>
      <x:c r="F121" s="9" t="str">
        <x:v>RUN-A-018</x:v>
      </x:c>
      <x:c r="G121" s="9" t="str">
        <x:v>server/src/access-control/teacher-projection.contract.spec.ts::allows Client self scope and hides unrelated Client resources</x:v>
      </x:c>
      <x:c r="H121" s="9" t="str">
        <x:v>Server</x:v>
      </x:c>
      <x:c r="I121" s="9" t="str">
        <x:v>server/src/access-control/teacher-projection.contract.spec.ts</x:v>
      </x:c>
      <x:c r="J121" s="9" t="str">
        <x:v>ActorClientProjectionFactory six-role scopes allows Client self scope and hides unrelated Client resources</x:v>
      </x:c>
      <x:c r="K121" s="9" t="str">
        <x:v>PASS</x:v>
      </x:c>
      <x:c r="L121" s="9" t="str">
        <x:v>evidence/server-test-json-final-156.json</x:v>
      </x:c>
    </x:row>
    <x:row r="122">
      <x:c r="A122" s="9" t="str">
        <x:v>SCH-001</x:v>
      </x:c>
      <x:c r="B122" s="9" t="str">
        <x:v>Schedule</x:v>
      </x:c>
      <x:c r="C122" s="9" t="str">
        <x:v>Month view</x:v>
      </x:c>
      <x:c r="D122" s="9" t="str">
        <x:v>PASS</x:v>
      </x:c>
      <x:c r="E122" s="9" t="str">
        <x:v>AUTOMATED + DEVICE</x:v>
      </x:c>
      <x:c r="F122" s="9" t="str">
        <x:v>RUN-A-023</x:v>
      </x:c>
      <x:c r="G122" s="9" t="str">
        <x:v>test/features/v6/client_schedule_calendar_test.dart::schedule search keeps the view and marks Day Week Month</x:v>
      </x:c>
      <x:c r="H122" s="9" t="str">
        <x:v>Flutter</x:v>
      </x:c>
      <x:c r="I122" s="9" t="str">
        <x:v>test/features/v6/client_schedule_calendar_test.dart</x:v>
      </x:c>
      <x:c r="J122" s="9" t="str">
        <x:v>schedule search keeps the view and marks Day Week Month</x:v>
      </x:c>
      <x:c r="K122" s="9" t="str">
        <x:v>PASS</x:v>
      </x:c>
      <x:c r="L122" s="9" t="str">
        <x:v>evidence/flutter-test-machine-final-156.ndjson</x:v>
      </x:c>
    </x:row>
    <x:row r="123">
      <x:c r="A123" s="9" t="str">
        <x:v>SCH-002</x:v>
      </x:c>
      <x:c r="B123" s="9" t="str">
        <x:v>Schedule</x:v>
      </x:c>
      <x:c r="C123" s="9" t="str">
        <x:v>Week view</x:v>
      </x:c>
      <x:c r="D123" s="9" t="str">
        <x:v>PASS</x:v>
      </x:c>
      <x:c r="E123" s="9" t="str">
        <x:v>AUTOMATED + DEVICE</x:v>
      </x:c>
      <x:c r="F123" s="9" t="str">
        <x:v>RUN-R-003</x:v>
      </x:c>
      <x:c r="G123" s="9" t="str">
        <x:v>test/features/admin/schedule_redesign_test.dart::week canvas maps each column to its own calendar date</x:v>
      </x:c>
      <x:c r="H123" s="9" t="str">
        <x:v>Flutter</x:v>
      </x:c>
      <x:c r="I123" s="9" t="str">
        <x:v>test/features/admin/schedule_redesign_test.dart</x:v>
      </x:c>
      <x:c r="J123" s="9" t="str">
        <x:v>KVA-195 schedule redesign week canvas maps each column to its own calendar date</x:v>
      </x:c>
      <x:c r="K123" s="9" t="str">
        <x:v>PASS</x:v>
      </x:c>
      <x:c r="L123" s="9" t="str">
        <x:v>evidence/flutter-test-machine-final-156.ndjson</x:v>
      </x:c>
    </x:row>
    <x:row r="124">
      <x:c r="A124" s="9" t="str">
        <x:v>SCH-003</x:v>
      </x:c>
      <x:c r="B124" s="9" t="str">
        <x:v>Schedule</x:v>
      </x:c>
      <x:c r="C124" s="9" t="str">
        <x:v>Day view</x:v>
      </x:c>
      <x:c r="D124" s="9" t="str">
        <x:v>PASS</x:v>
      </x:c>
      <x:c r="E124" s="9" t="str">
        <x:v>AUTOMATED + DEVICE</x:v>
      </x:c>
      <x:c r="F124" s="9" t="str">
        <x:v>RUN-A-027</x:v>
      </x:c>
      <x:c r="G124" s="9" t="str">
        <x:v>test/features/admin/schedule_day_canvas_gestures_test.dart::overlapping lessons share the column side by side</x:v>
      </x:c>
      <x:c r="H124" s="9" t="str">
        <x:v>Flutter</x:v>
      </x:c>
      <x:c r="I124" s="9" t="str">
        <x:v>test/features/admin/schedule_day_canvas_gestures_test.dart</x:v>
      </x:c>
      <x:c r="J124" s="9" t="str">
        <x:v>overlapping lessons share the column side by side</x:v>
      </x:c>
      <x:c r="K124" s="9" t="str">
        <x:v>PASS</x:v>
      </x:c>
      <x:c r="L124" s="9" t="str">
        <x:v>evidence/flutter-test-machine-final-156.ndjson</x:v>
      </x:c>
    </x:row>
    <x:row r="125">
      <x:c r="A125" s="9" t="str">
        <x:v>SCH-004</x:v>
      </x:c>
      <x:c r="B125" s="9" t="str">
        <x:v>Schedule</x:v>
      </x:c>
      <x:c r="C125" s="9" t="str">
        <x:v>Date navigation</x:v>
      </x:c>
      <x:c r="D125" s="9" t="str">
        <x:v>PASS</x:v>
      </x:c>
      <x:c r="E125" s="9" t="str">
        <x:v>AUTOMATED + DEVICE</x:v>
      </x:c>
      <x:c r="F125" s="9" t="str">
        <x:v>RUN-A-029</x:v>
      </x:c>
      <x:c r="G125" s="9" t="str">
        <x:v>test/features/admin/schedule_navigation_provider_test.dart::lead card request carries date and lead preset into Schedule</x:v>
      </x:c>
      <x:c r="H125" s="9" t="str">
        <x:v>Flutter</x:v>
      </x:c>
      <x:c r="I125" s="9" t="str">
        <x:v>test/features/admin/schedule_navigation_provider_test.dart</x:v>
      </x:c>
      <x:c r="J125" s="9" t="str">
        <x:v>lead card request carries date and lead preset into Schedule</x:v>
      </x:c>
      <x:c r="K125" s="9" t="str">
        <x:v>PASS</x:v>
      </x:c>
      <x:c r="L125" s="9" t="str">
        <x:v>evidence/flutter-test-machine-final-156.ndjson</x:v>
      </x:c>
    </x:row>
    <x:row r="126">
      <x:c r="A126" s="9" t="str">
        <x:v>SCH-005</x:v>
      </x:c>
      <x:c r="B126" s="9" t="str">
        <x:v>Schedule</x:v>
      </x:c>
      <x:c r="C126" s="9" t="str">
        <x:v>Branch filter</x:v>
      </x:c>
      <x:c r="D126" s="9" t="str">
        <x:v>PASS</x:v>
      </x:c>
      <x:c r="E126" s="9" t="str">
        <x:v>AUTOMATED</x:v>
      </x:c>
      <x:c r="F126" s="9" t="str">
        <x:v>—</x:v>
      </x:c>
      <x:c r="G126" s="9" t="str">
        <x:v>test/features/v6/client_schedule_calendar_test.dart::mode and branch publish one restorable schedule state</x:v>
      </x:c>
      <x:c r="H126" s="9" t="str">
        <x:v>Flutter</x:v>
      </x:c>
      <x:c r="I126" s="9" t="str">
        <x:v>test/features/v6/client_schedule_calendar_test.dart</x:v>
      </x:c>
      <x:c r="J126" s="9" t="str">
        <x:v>mode and branch publish one restorable schedule state</x:v>
      </x:c>
      <x:c r="K126" s="9" t="str">
        <x:v>PASS</x:v>
      </x:c>
      <x:c r="L126" s="9" t="str">
        <x:v>evidence/flutter-test-machine-final-156.ndjson</x:v>
      </x:c>
    </x:row>
    <x:row r="127">
      <x:c r="A127" s="9" t="str">
        <x:v>SCH-006</x:v>
      </x:c>
      <x:c r="B127" s="9" t="str">
        <x:v>Schedule</x:v>
      </x:c>
      <x:c r="C127" s="9" t="str">
        <x:v>Search typing</x:v>
      </x:c>
      <x:c r="D127" s="9" t="str">
        <x:v>PASS</x:v>
      </x:c>
      <x:c r="E127" s="9" t="str">
        <x:v>AUTOMATED + DEVICE</x:v>
      </x:c>
      <x:c r="F127" s="9" t="str">
        <x:v>RUN-A-022</x:v>
      </x:c>
      <x:c r="G127" s="9" t="str">
        <x:v>test/features/v6/client_schedule_calendar_test.dart::schedule search keeps the view and marks Day Week Month</x:v>
      </x:c>
      <x:c r="H127" s="9" t="str">
        <x:v>Flutter</x:v>
      </x:c>
      <x:c r="I127" s="9" t="str">
        <x:v>test/features/v6/client_schedule_calendar_test.dart</x:v>
      </x:c>
      <x:c r="J127" s="9" t="str">
        <x:v>schedule search keeps the view and marks Day Week Month</x:v>
      </x:c>
      <x:c r="K127" s="9" t="str">
        <x:v>PASS</x:v>
      </x:c>
      <x:c r="L127" s="9" t="str">
        <x:v>evidence/flutter-test-machine-final-156.ndjson</x:v>
      </x:c>
    </x:row>
    <x:row r="128">
      <x:c r="A128" s="9" t="str">
        <x:v>SCH-007</x:v>
      </x:c>
      <x:c r="B128" s="9" t="str">
        <x:v>Schedule</x:v>
      </x:c>
      <x:c r="C128" s="9" t="str">
        <x:v>Month search highlighting</x:v>
      </x:c>
      <x:c r="D128" s="9" t="str">
        <x:v>PASS</x:v>
      </x:c>
      <x:c r="E128" s="9" t="str">
        <x:v>AUTOMATED + DEVICE</x:v>
      </x:c>
      <x:c r="F128" s="9" t="str">
        <x:v>RUN-A-024</x:v>
      </x:c>
      <x:c r="G128" s="9" t="str">
        <x:v>test/features/v6/client_schedule_calendar_test.dart::schedule search keeps the view and marks Day Week Month</x:v>
      </x:c>
      <x:c r="H128" s="9" t="str">
        <x:v>Flutter</x:v>
      </x:c>
      <x:c r="I128" s="9" t="str">
        <x:v>test/features/v6/client_schedule_calendar_test.dart</x:v>
      </x:c>
      <x:c r="J128" s="9" t="str">
        <x:v>schedule search keeps the view and marks Day Week Month</x:v>
      </x:c>
      <x:c r="K128" s="9" t="str">
        <x:v>PASS</x:v>
      </x:c>
      <x:c r="L128" s="9" t="str">
        <x:v>evidence/flutter-test-machine-final-156.ndjson</x:v>
      </x:c>
    </x:row>
    <x:row r="129">
      <x:c r="A129" s="9" t="str">
        <x:v>SCH-008</x:v>
      </x:c>
      <x:c r="B129" s="9" t="str">
        <x:v>Schedule</x:v>
      </x:c>
      <x:c r="C129" s="9" t="str">
        <x:v>Week search highlighting</x:v>
      </x:c>
      <x:c r="D129" s="9" t="str">
        <x:v>PASS</x:v>
      </x:c>
      <x:c r="E129" s="9" t="str">
        <x:v>AUTOMATED + DEVICE</x:v>
      </x:c>
      <x:c r="F129" s="9" t="str">
        <x:v>RUN-R-004</x:v>
      </x:c>
      <x:c r="G129" s="9" t="str">
        <x:v>test/features/v6/client_schedule_calendar_test.dart::schedule search keeps the view and marks Day Week Month</x:v>
      </x:c>
      <x:c r="H129" s="9" t="str">
        <x:v>Flutter</x:v>
      </x:c>
      <x:c r="I129" s="9" t="str">
        <x:v>test/features/v6/client_schedule_calendar_test.dart</x:v>
      </x:c>
      <x:c r="J129" s="9" t="str">
        <x:v>schedule search keeps the view and marks Day Week Month</x:v>
      </x:c>
      <x:c r="K129" s="9" t="str">
        <x:v>PASS</x:v>
      </x:c>
      <x:c r="L129" s="9" t="str">
        <x:v>evidence/flutter-test-machine-final-156.ndjson</x:v>
      </x:c>
    </x:row>
    <x:row r="130">
      <x:c r="A130" s="9" t="str">
        <x:v>SCH-009</x:v>
      </x:c>
      <x:c r="B130" s="9" t="str">
        <x:v>Schedule</x:v>
      </x:c>
      <x:c r="C130" s="9" t="str">
        <x:v>Day search highlighting</x:v>
      </x:c>
      <x:c r="D130" s="9" t="str">
        <x:v>PASS</x:v>
      </x:c>
      <x:c r="E130" s="9" t="str">
        <x:v>AUTOMATED + DEVICE</x:v>
      </x:c>
      <x:c r="F130" s="9" t="str">
        <x:v>RUN-A-028</x:v>
      </x:c>
      <x:c r="G130" s="9" t="str">
        <x:v>test/features/v6/client_schedule_calendar_test.dart::schedule search keeps the view and marks Day Week Month</x:v>
      </x:c>
      <x:c r="H130" s="9" t="str">
        <x:v>Flutter</x:v>
      </x:c>
      <x:c r="I130" s="9" t="str">
        <x:v>test/features/v6/client_schedule_calendar_test.dart</x:v>
      </x:c>
      <x:c r="J130" s="9" t="str">
        <x:v>schedule search keeps the view and marks Day Week Month</x:v>
      </x:c>
      <x:c r="K130" s="9" t="str">
        <x:v>PASS</x:v>
      </x:c>
      <x:c r="L130" s="9" t="str">
        <x:v>evidence/flutter-test-machine-final-156.ndjson</x:v>
      </x:c>
    </x:row>
    <x:row r="131">
      <x:c r="A131" s="9" t="str">
        <x:v>SCH-010</x:v>
      </x:c>
      <x:c r="B131" s="9" t="str">
        <x:v>Schedule</x:v>
      </x:c>
      <x:c r="C131" s="9" t="str">
        <x:v>No-match search</x:v>
      </x:c>
      <x:c r="D131" s="9" t="str">
        <x:v>PASS</x:v>
      </x:c>
      <x:c r="E131" s="9" t="str">
        <x:v>AUTOMATED + DEVICE</x:v>
      </x:c>
      <x:c r="F131" s="9" t="str">
        <x:v>RUN-R-005</x:v>
      </x:c>
      <x:c r="G131" s="9" t="str">
        <x:v>test/features/v6/client_schedule_calendar_test.dart::schedule search keeps the view and marks Day Week Month</x:v>
      </x:c>
      <x:c r="H131" s="9" t="str">
        <x:v>Flutter</x:v>
      </x:c>
      <x:c r="I131" s="9" t="str">
        <x:v>test/features/v6/client_schedule_calendar_test.dart</x:v>
      </x:c>
      <x:c r="J131" s="9" t="str">
        <x:v>schedule search keeps the view and marks Day Week Month</x:v>
      </x:c>
      <x:c r="K131" s="9" t="str">
        <x:v>PASS</x:v>
      </x:c>
      <x:c r="L131" s="9" t="str">
        <x:v>evidence/flutter-test-machine-final-156.ndjson</x:v>
      </x:c>
    </x:row>
    <x:row r="132">
      <x:c r="A132" s="9" t="str">
        <x:v>SCH-011</x:v>
      </x:c>
      <x:c r="B132" s="9" t="str">
        <x:v>Schedule</x:v>
      </x:c>
      <x:c r="C132" s="9" t="str">
        <x:v>Create lesson</x:v>
      </x:c>
      <x:c r="D132" s="9" t="str">
        <x:v>PASS</x:v>
      </x:c>
      <x:c r="E132" s="9" t="str">
        <x:v>AUTOMATED</x:v>
      </x:c>
      <x:c r="F132" s="9" t="str">
        <x:v>—</x:v>
      </x:c>
      <x:c r="G132" s="9" t="str">
        <x:v>test/features/admin/schedule_redesign_test.dart::tapping an empty hour opens the (single) create dialog</x:v>
      </x:c>
      <x:c r="H132" s="9" t="str">
        <x:v>Flutter</x:v>
      </x:c>
      <x:c r="I132" s="9" t="str">
        <x:v>test/features/admin/schedule_redesign_test.dart</x:v>
      </x:c>
      <x:c r="J132" s="9" t="str">
        <x:v>KVA-195 schedule redesign tapping an empty hour opens the (single) create dialog</x:v>
      </x:c>
      <x:c r="K132" s="9" t="str">
        <x:v>PASS</x:v>
      </x:c>
      <x:c r="L132" s="9" t="str">
        <x:v>evidence/flutter-test-machine-final-156.ndjson</x:v>
      </x:c>
    </x:row>
    <x:row r="133">
      <x:c r="A133" s="9" t="str">
        <x:v>SCH-012</x:v>
      </x:c>
      <x:c r="B133" s="9" t="str">
        <x:v>Schedule</x:v>
      </x:c>
      <x:c r="C133" s="9" t="str">
        <x:v>Constraint preview</x:v>
      </x:c>
      <x:c r="D133" s="9" t="str">
        <x:v>PASS</x:v>
      </x:c>
      <x:c r="E133" s="9" t="str">
        <x:v>AUTOMATED</x:v>
      </x:c>
      <x:c r="F133" s="9" t="str">
        <x:v>—</x:v>
      </x:c>
      <x:c r="G133" s="9" t="str">
        <x:v>server/src/crm/schedule/constraint-engine-postgres.integration.spec.ts::allows adjacency and blocks all overlaps with refs</x:v>
      </x:c>
      <x:c r="H133" s="9" t="str">
        <x:v>Server</x:v>
      </x:c>
      <x:c r="I133" s="9" t="str">
        <x:v>server/src/crm/schedule/constraint-engine-postgres.integration.spec.ts</x:v>
      </x:c>
      <x:c r="J133" s="9" t="str">
        <x:v>Schedule constraint engine (PostgreSQL) allows adjacency and blocks all overlaps with refs, excludeLessonId and cross-branch mismatch</x:v>
      </x:c>
      <x:c r="K133" s="9" t="str">
        <x:v>PASS</x:v>
      </x:c>
      <x:c r="L133" s="9" t="str">
        <x:v>evidence/server-test-json-final-156.json</x:v>
      </x:c>
    </x:row>
    <x:row r="134">
      <x:c r="A134" s="9" t="str">
        <x:v>SCH-013</x:v>
      </x:c>
      <x:c r="B134" s="9" t="str">
        <x:v>Schedule</x:v>
      </x:c>
      <x:c r="C134" s="9" t="str">
        <x:v>Conflict rejection</x:v>
      </x:c>
      <x:c r="D134" s="9" t="str">
        <x:v>PASS</x:v>
      </x:c>
      <x:c r="E134" s="9" t="str">
        <x:v>AUTOMATED</x:v>
      </x:c>
      <x:c r="F134" s="9" t="str">
        <x:v>—</x:v>
      </x:c>
      <x:c r="G134" s="9" t="str">
        <x:v>server/src/crm/schedule/lesson-series-postgres.integration.spec.ts::rolls back an Nth conflict and creates a valid DST-aware series fully</x:v>
      </x:c>
      <x:c r="H134" s="9" t="str">
        <x:v>Server</x:v>
      </x:c>
      <x:c r="I134" s="9" t="str">
        <x:v>server/src/crm/schedule/lesson-series-postgres.integration.spec.ts</x:v>
      </x:c>
      <x:c r="J134" s="9" t="str">
        <x:v>Atomic LessonSeries (PostgreSQL) rolls back an Nth conflict and creates a valid DST-aware series fully</x:v>
      </x:c>
      <x:c r="K134" s="9" t="str">
        <x:v>PASS</x:v>
      </x:c>
      <x:c r="L134" s="9" t="str">
        <x:v>evidence/server-test-json-final-156.json</x:v>
      </x:c>
    </x:row>
    <x:row r="135">
      <x:c r="A135" s="9" t="str">
        <x:v>SCH-014</x:v>
      </x:c>
      <x:c r="B135" s="9" t="str">
        <x:v>Schedule</x:v>
      </x:c>
      <x:c r="C135" s="9" t="str">
        <x:v>Edit lesson</x:v>
      </x:c>
      <x:c r="D135" s="9" t="str">
        <x:v>PASS</x:v>
      </x:c>
      <x:c r="E135" s="9" t="str">
        <x:v>AUTOMATED</x:v>
      </x:c>
      <x:c r="F135" s="9" t="str">
        <x:v>—</x:v>
      </x:c>
      <x:c r="G135" s="9" t="str">
        <x:v>server/src/crm/schedule/lesson-write-parity.integration.spec.ts::returns identical violations for create/edit/drag</x:v>
      </x:c>
      <x:c r="H135" s="9" t="str">
        <x:v>Server</x:v>
      </x:c>
      <x:c r="I135" s="9" t="str">
        <x:v>server/src/crm/schedule/lesson-write-parity.integration.spec.ts</x:v>
      </x:c>
      <x:c r="J135" s="9" t="str">
        <x:v>Unified lesson create/edit/drag writes (PostgreSQL) returns identical violations for create/edit/drag and replays a create once</x:v>
      </x:c>
      <x:c r="K135" s="9" t="str">
        <x:v>PASS</x:v>
      </x:c>
      <x:c r="L135" s="9" t="str">
        <x:v>evidence/server-test-json-final-156.json</x:v>
      </x:c>
    </x:row>
    <x:row r="136">
      <x:c r="A136" s="9" t="str">
        <x:v>SCH-015</x:v>
      </x:c>
      <x:c r="B136" s="9" t="str">
        <x:v>Schedule</x:v>
      </x:c>
      <x:c r="C136" s="9" t="str">
        <x:v>Reschedule preview</x:v>
      </x:c>
      <x:c r="D136" s="9" t="str">
        <x:v>PASS</x:v>
      </x:c>
      <x:c r="E136" s="9" t="str">
        <x:v>AUTOMATED</x:v>
      </x:c>
      <x:c r="F136" s="9" t="str">
        <x:v>—</x:v>
      </x:c>
      <x:c r="G136" s="9" t="str">
        <x:v>server/src/crm/schedule/reschedule-postgres.integration.spec.ts::keeps source unchanged on conflict/failure and commits one linked transition</x:v>
      </x:c>
      <x:c r="H136" s="9" t="str">
        <x:v>Server</x:v>
      </x:c>
      <x:c r="I136" s="9" t="str">
        <x:v>server/src/crm/schedule/reschedule-postgres.integration.spec.ts</x:v>
      </x:c>
      <x:c r="J136" s="9" t="str">
        <x:v>Atomic lesson reschedule/cancel (PostgreSQL) keeps source unchanged on conflict/failure and commits one linked transition</x:v>
      </x:c>
      <x:c r="K136" s="9" t="str">
        <x:v>PASS</x:v>
      </x:c>
      <x:c r="L136" s="9" t="str">
        <x:v>evidence/server-test-json-final-156.json</x:v>
      </x:c>
    </x:row>
    <x:row r="137">
      <x:c r="A137" s="9" t="str">
        <x:v>SCH-016</x:v>
      </x:c>
      <x:c r="B137" s="9" t="str">
        <x:v>Schedule</x:v>
      </x:c>
      <x:c r="C137" s="9" t="str">
        <x:v>Reschedule lesson</x:v>
      </x:c>
      <x:c r="D137" s="9" t="str">
        <x:v>PASS</x:v>
      </x:c>
      <x:c r="E137" s="9" t="str">
        <x:v>AUTOMATED</x:v>
      </x:c>
      <x:c r="F137" s="9" t="str">
        <x:v>—</x:v>
      </x:c>
      <x:c r="G137" s="9" t="str">
        <x:v>server/src/crm/schedule/reschedule-postgres.integration.spec.ts::keeps source unchanged on conflict/failure and commits one linked transition</x:v>
      </x:c>
      <x:c r="H137" s="9" t="str">
        <x:v>Server</x:v>
      </x:c>
      <x:c r="I137" s="9" t="str">
        <x:v>server/src/crm/schedule/reschedule-postgres.integration.spec.ts</x:v>
      </x:c>
      <x:c r="J137" s="9" t="str">
        <x:v>Atomic lesson reschedule/cancel (PostgreSQL) keeps source unchanged on conflict/failure and commits one linked transition</x:v>
      </x:c>
      <x:c r="K137" s="9" t="str">
        <x:v>PASS</x:v>
      </x:c>
      <x:c r="L137" s="9" t="str">
        <x:v>evidence/server-test-json-final-156.json</x:v>
      </x:c>
    </x:row>
    <x:row r="138">
      <x:c r="A138" s="9" t="str">
        <x:v>SCH-017</x:v>
      </x:c>
      <x:c r="B138" s="9" t="str">
        <x:v>Schedule</x:v>
      </x:c>
      <x:c r="C138" s="9" t="str">
        <x:v>Cancel preview</x:v>
      </x:c>
      <x:c r="D138" s="9" t="str">
        <x:v>PASS</x:v>
      </x:c>
      <x:c r="E138" s="9" t="str">
        <x:v>AUTOMATED</x:v>
      </x:c>
      <x:c r="F138" s="9" t="str">
        <x:v>—</x:v>
      </x:c>
      <x:c r="G138" s="9" t="str">
        <x:v>server/src/crm/schedule/reschedule-postgres.integration.spec.ts::keeps source unchanged on conflict/failure and commits one linked transition</x:v>
      </x:c>
      <x:c r="H138" s="9" t="str">
        <x:v>Server</x:v>
      </x:c>
      <x:c r="I138" s="9" t="str">
        <x:v>server/src/crm/schedule/reschedule-postgres.integration.spec.ts</x:v>
      </x:c>
      <x:c r="J138" s="9" t="str">
        <x:v>Atomic lesson reschedule/cancel (PostgreSQL) keeps source unchanged on conflict/failure and commits one linked transition</x:v>
      </x:c>
      <x:c r="K138" s="9" t="str">
        <x:v>PASS</x:v>
      </x:c>
      <x:c r="L138" s="9" t="str">
        <x:v>evidence/server-test-json-final-156.json</x:v>
      </x:c>
    </x:row>
    <x:row r="139">
      <x:c r="A139" s="9" t="str">
        <x:v>SCH-018</x:v>
      </x:c>
      <x:c r="B139" s="9" t="str">
        <x:v>Schedule</x:v>
      </x:c>
      <x:c r="C139" s="9" t="str">
        <x:v>Cancel lesson</x:v>
      </x:c>
      <x:c r="D139" s="9" t="str">
        <x:v>PASS</x:v>
      </x:c>
      <x:c r="E139" s="9" t="str">
        <x:v>AUTOMATED</x:v>
      </x:c>
      <x:c r="F139" s="9" t="str">
        <x:v>—</x:v>
      </x:c>
      <x:c r="G139" s="9" t="str">
        <x:v>server/src/crm/schedule/reschedule-postgres.integration.spec.ts::keeps source unchanged on conflict/failure and commits one linked transition</x:v>
      </x:c>
      <x:c r="H139" s="9" t="str">
        <x:v>Server</x:v>
      </x:c>
      <x:c r="I139" s="9" t="str">
        <x:v>server/src/crm/schedule/reschedule-postgres.integration.spec.ts</x:v>
      </x:c>
      <x:c r="J139" s="9" t="str">
        <x:v>Atomic lesson reschedule/cancel (PostgreSQL) keeps source unchanged on conflict/failure and commits one linked transition</x:v>
      </x:c>
      <x:c r="K139" s="9" t="str">
        <x:v>PASS</x:v>
      </x:c>
      <x:c r="L139" s="9" t="str">
        <x:v>evidence/server-test-json-final-156.json</x:v>
      </x:c>
    </x:row>
    <x:row r="140">
      <x:c r="A140" s="9" t="str">
        <x:v>SCH-019</x:v>
      </x:c>
      <x:c r="B140" s="9" t="str">
        <x:v>Schedule</x:v>
      </x:c>
      <x:c r="C140" s="9" t="str">
        <x:v>Delete lesson</x:v>
      </x:c>
      <x:c r="D140" s="9" t="str">
        <x:v>PASS</x:v>
      </x:c>
      <x:c r="E140" s="9" t="str">
        <x:v>AUTOMATED</x:v>
      </x:c>
      <x:c r="F140" s="9" t="str">
        <x:v>—</x:v>
      </x:c>
      <x:c r="G140" s="9" t="str">
        <x:v>server/src/crm/schedule.service.spec.ts::soft-deletes a lesson and clears its reminder markers</x:v>
      </x:c>
      <x:c r="H140" s="9" t="str">
        <x:v>Server</x:v>
      </x:c>
      <x:c r="I140" s="9" t="str">
        <x:v>server/src/crm/schedule.service.spec.ts</x:v>
      </x:c>
      <x:c r="J140" s="9" t="str">
        <x:v>ScheduleService soft-deletes a lesson and clears its reminder markers</x:v>
      </x:c>
      <x:c r="K140" s="9" t="str">
        <x:v>PASS</x:v>
      </x:c>
      <x:c r="L140" s="9" t="str">
        <x:v>evidence/server-test-json-final-156.json</x:v>
      </x:c>
    </x:row>
    <x:row r="141">
      <x:c r="A141" s="9" t="str">
        <x:v>SCH-020</x:v>
      </x:c>
      <x:c r="B141" s="9" t="str">
        <x:v>Schedule</x:v>
      </x:c>
      <x:c r="C141" s="9" t="str">
        <x:v>Attendance (derived read-only)</x:v>
      </x:c>
      <x:c r="D141" s="9" t="str">
        <x:v>PASS</x:v>
      </x:c>
      <x:c r="E141" s="9" t="str">
        <x:v>AUTOMATED</x:v>
      </x:c>
      <x:c r="F141" s="9" t="str">
        <x:v>—</x:v>
      </x:c>
      <x:c r="G141" s="9" t="str">
        <x:v>server/src/crm/schedule/no-attendance-mutations.contract.spec.ts::has no attendance API/service/DTO and rejects manual completion input</x:v>
      </x:c>
      <x:c r="H141" s="9" t="str">
        <x:v>Server</x:v>
      </x:c>
      <x:c r="I141" s="9" t="str">
        <x:v>server/src/crm/schedule/no-attendance-mutations.contract.spec.ts</x:v>
      </x:c>
      <x:c r="J141" s="9" t="str">
        <x:v>T4.2.5 no-attendance mutation contract has no attendance API/service/DTO and rejects manual completion input</x:v>
      </x:c>
      <x:c r="K141" s="9" t="str">
        <x:v>PASS</x:v>
      </x:c>
      <x:c r="L141" s="9" t="str">
        <x:v>evidence/server-test-json-final-156.json</x:v>
      </x:c>
    </x:row>
    <x:row r="142">
      <x:c r="A142" s="9" t="str">
        <x:v>SCH-021</x:v>
      </x:c>
      <x:c r="B142" s="9" t="str">
        <x:v>Schedule</x:v>
      </x:c>
      <x:c r="C142" s="9" t="str">
        <x:v>Auto completion</x:v>
      </x:c>
      <x:c r="D142" s="9" t="str">
        <x:v>PASS</x:v>
      </x:c>
      <x:c r="E142" s="9" t="str">
        <x:v>AUTOMATED</x:v>
      </x:c>
      <x:c r="F142" s="9" t="str">
        <x:v>—</x:v>
      </x:c>
      <x:c r="G142" s="9" t="str">
        <x:v>server/src/crm/schedule/completion-worker-postgres.integration.spec.ts::lets two workers create one terminal state, fact pair, audit and outbox</x:v>
      </x:c>
      <x:c r="H142" s="9" t="str">
        <x:v>Server</x:v>
      </x:c>
      <x:c r="I142" s="9" t="str">
        <x:v>server/src/crm/schedule/completion-worker-postgres.integration.spec.ts</x:v>
      </x:c>
      <x:c r="J142" s="9" t="str">
        <x:v>Durable Lesson completion worker (PostgreSQL) lets two workers create one terminal state, fact pair, audit and outbox within 60 seconds</x:v>
      </x:c>
      <x:c r="K142" s="9" t="str">
        <x:v>PASS</x:v>
      </x:c>
      <x:c r="L142" s="9" t="str">
        <x:v>evidence/server-test-json-final-156.json</x:v>
      </x:c>
    </x:row>
    <x:row r="143">
      <x:c r="A143" s="9" t="str">
        <x:v>SCH-022</x:v>
      </x:c>
      <x:c r="B143" s="9" t="str">
        <x:v>Schedule</x:v>
      </x:c>
      <x:c r="C143" s="9" t="str">
        <x:v>Teacher rate</x:v>
      </x:c>
      <x:c r="D143" s="9" t="str">
        <x:v>PASS</x:v>
      </x:c>
      <x:c r="E143" s="9" t="str">
        <x:v>AUTOMATED</x:v>
      </x:c>
      <x:c r="F143" s="9" t="str">
        <x:v>—</x:v>
      </x:c>
      <x:c r="G143" s="9" t="str">
        <x:v>server/src/crm/schedule.service.spec.ts::bulk teacher rate is manager-only</x:v>
      </x:c>
      <x:c r="H143" s="9" t="str">
        <x:v>Server</x:v>
      </x:c>
      <x:c r="I143" s="9" t="str">
        <x:v>server/src/crm/schedule.service.spec.ts</x:v>
      </x:c>
      <x:c r="J143" s="9" t="str">
        <x:v>ScheduleService bulk teacher rate is manager-only — it writes payroll inputs across the schedule</x:v>
      </x:c>
      <x:c r="K143" s="9" t="str">
        <x:v>PASS</x:v>
      </x:c>
      <x:c r="L143" s="9" t="str">
        <x:v>evidence/server-test-json-final-156.json</x:v>
      </x:c>
    </x:row>
    <x:row r="144">
      <x:c r="A144" s="9" t="str">
        <x:v>SCH-023</x:v>
      </x:c>
      <x:c r="B144" s="9" t="str">
        <x:v>Schedule</x:v>
      </x:c>
      <x:c r="C144" s="9" t="str">
        <x:v>Series create</x:v>
      </x:c>
      <x:c r="D144" s="9" t="str">
        <x:v>PASS</x:v>
      </x:c>
      <x:c r="E144" s="9" t="str">
        <x:v>AUTOMATED</x:v>
      </x:c>
      <x:c r="F144" s="9" t="str">
        <x:v>—</x:v>
      </x:c>
      <x:c r="G144" s="9" t="str">
        <x:v>server/src/crm/schedule/lesson-series-postgres.integration.spec.ts::rolls back an Nth conflict and creates a valid DST-aware series fully</x:v>
      </x:c>
      <x:c r="H144" s="9" t="str">
        <x:v>Server</x:v>
      </x:c>
      <x:c r="I144" s="9" t="str">
        <x:v>server/src/crm/schedule/lesson-series-postgres.integration.spec.ts</x:v>
      </x:c>
      <x:c r="J144" s="9" t="str">
        <x:v>Atomic LessonSeries (PostgreSQL) rolls back an Nth conflict and creates a valid DST-aware series fully</x:v>
      </x:c>
      <x:c r="K144" s="9" t="str">
        <x:v>PASS</x:v>
      </x:c>
      <x:c r="L144" s="9" t="str">
        <x:v>evidence/server-test-json-final-156.json</x:v>
      </x:c>
    </x:row>
    <x:row r="145">
      <x:c r="A145" s="9" t="str">
        <x:v>SCH-024</x:v>
      </x:c>
      <x:c r="B145" s="9" t="str">
        <x:v>Schedule</x:v>
      </x:c>
      <x:c r="C145" s="9" t="str">
        <x:v>Series update</x:v>
      </x:c>
      <x:c r="D145" s="9" t="str">
        <x:v>PASS</x:v>
      </x:c>
      <x:c r="E145" s="9" t="str">
        <x:v>AUTOMATED</x:v>
      </x:c>
      <x:c r="F145" s="9" t="str">
        <x:v>—</x:v>
      </x:c>
      <x:c r="G145" s="9" t="str">
        <x:v>server/src/crm/schedule.service.spec.ts::applies a series edit, preserves exceptions and explicitly clears a finite end</x:v>
      </x:c>
      <x:c r="H145" s="9" t="str">
        <x:v>Server</x:v>
      </x:c>
      <x:c r="I145" s="9" t="str">
        <x:v>server/src/crm/schedule.service.spec.ts</x:v>
      </x:c>
      <x:c r="J145" s="9" t="str">
        <x:v>ScheduleService applies a series edit, preserves exceptions and explicitly clears a finite end</x:v>
      </x:c>
      <x:c r="K145" s="9" t="str">
        <x:v>PASS</x:v>
      </x:c>
      <x:c r="L145" s="9" t="str">
        <x:v>evidence/server-test-json-final-156.json</x:v>
      </x:c>
    </x:row>
    <x:row r="146">
      <x:c r="A146" s="9" t="str">
        <x:v>SCH-025</x:v>
      </x:c>
      <x:c r="B146" s="9" t="str">
        <x:v>Schedule</x:v>
      </x:c>
      <x:c r="C146" s="9" t="str">
        <x:v>Series delete</x:v>
      </x:c>
      <x:c r="D146" s="9" t="str">
        <x:v>PASS</x:v>
      </x:c>
      <x:c r="E146" s="9" t="str">
        <x:v>AUTOMATED</x:v>
      </x:c>
      <x:c r="F146" s="9" t="str">
        <x:v>—</x:v>
      </x:c>
      <x:c r="G146" s="9" t="str">
        <x:v>server/src/crm/schedule.service.spec.ts::stops series occurrences by their actual Moscow date</x:v>
      </x:c>
      <x:c r="H146" s="9" t="str">
        <x:v>Server</x:v>
      </x:c>
      <x:c r="I146" s="9" t="str">
        <x:v>server/src/crm/schedule.service.spec.ts</x:v>
      </x:c>
      <x:c r="J146" s="9" t="str">
        <x:v>ScheduleService stops series occurrences by their actual Moscow date, including moved lessons</x:v>
      </x:c>
      <x:c r="K146" s="9" t="str">
        <x:v>PASS</x:v>
      </x:c>
      <x:c r="L146" s="9" t="str">
        <x:v>evidence/server-test-json-final-156.json</x:v>
      </x:c>
    </x:row>
    <x:row r="147">
      <x:c r="A147" s="9" t="str">
        <x:v>SCH-026</x:v>
      </x:c>
      <x:c r="B147" s="9" t="str">
        <x:v>Schedule</x:v>
      </x:c>
      <x:c r="C147" s="9" t="str">
        <x:v>Schedule matrix</x:v>
      </x:c>
      <x:c r="D147" s="9" t="str">
        <x:v>PASS</x:v>
      </x:c>
      <x:c r="E147" s="9" t="str">
        <x:v>AUTOMATED</x:v>
      </x:c>
      <x:c r="F147" s="9" t="str">
        <x:v>—</x:v>
      </x:c>
      <x:c r="G147" s="9" t="str">
        <x:v>server/src/crm/schedule.service.spec.ts::returns schedule matrix grouped by room with conflicts</x:v>
      </x:c>
      <x:c r="H147" s="9" t="str">
        <x:v>Server</x:v>
      </x:c>
      <x:c r="I147" s="9" t="str">
        <x:v>server/src/crm/schedule.service.spec.ts</x:v>
      </x:c>
      <x:c r="J147" s="9" t="str">
        <x:v>ScheduleService returns schedule matrix grouped by room with conflicts</x:v>
      </x:c>
      <x:c r="K147" s="9" t="str">
        <x:v>PASS</x:v>
      </x:c>
      <x:c r="L147" s="9" t="str">
        <x:v>evidence/server-test-json-final-156.json</x:v>
      </x:c>
    </x:row>
    <x:row r="148">
      <x:c r="A148" s="9" t="str">
        <x:v>SCH-027</x:v>
      </x:c>
      <x:c r="B148" s="9" t="str">
        <x:v>Schedule</x:v>
      </x:c>
      <x:c r="C148" s="9" t="str">
        <x:v>Month summary</x:v>
      </x:c>
      <x:c r="D148" s="9" t="str">
        <x:v>PASS</x:v>
      </x:c>
      <x:c r="E148" s="9" t="str">
        <x:v>AUTOMATED</x:v>
      </x:c>
      <x:c r="F148" s="9" t="str">
        <x:v>—</x:v>
      </x:c>
      <x:c r="G148" s="9" t="str">
        <x:v>test/core/services/magic_crm_service_test.dart::maps schedule month summary counts and room ids</x:v>
      </x:c>
      <x:c r="H148" s="9" t="str">
        <x:v>Flutter</x:v>
      </x:c>
      <x:c r="I148" s="9" t="str">
        <x:v>test/core/services/magic_crm_service_test.dart</x:v>
      </x:c>
      <x:c r="J148" s="9" t="str">
        <x:v>MagicCrmService maps schedule month summary counts and room ids</x:v>
      </x:c>
      <x:c r="K148" s="9" t="str">
        <x:v>PASS</x:v>
      </x:c>
      <x:c r="L148" s="9" t="str">
        <x:v>evidence/flutter-test-machine-final-156.ndjson</x:v>
      </x:c>
    </x:row>
    <x:row r="149">
      <x:c r="A149" s="9" t="str">
        <x:v>SCH-028</x:v>
      </x:c>
      <x:c r="B149" s="9" t="str">
        <x:v>Schedule</x:v>
      </x:c>
      <x:c r="C149" s="9" t="str">
        <x:v>Conflict list</x:v>
      </x:c>
      <x:c r="D149" s="9" t="str">
        <x:v>PASS</x:v>
      </x:c>
      <x:c r="E149" s="9" t="str">
        <x:v>AUTOMATED</x:v>
      </x:c>
      <x:c r="F149" s="9" t="str">
        <x:v>—</x:v>
      </x:c>
      <x:c r="G149" s="9" t="str">
        <x:v>server/src/crm/schedule.service.spec.ts::GET conflicts is admin+ only and returns the pinned shape</x:v>
      </x:c>
      <x:c r="H149" s="9" t="str">
        <x:v>Server</x:v>
      </x:c>
      <x:c r="I149" s="9" t="str">
        <x:v>server/src/crm/schedule.service.spec.ts</x:v>
      </x:c>
      <x:c r="J149" s="9" t="str">
        <x:v>ScheduleService schedule conflicts (контракты 1-2, правки №2) GET conflicts is admin+ only and returns the pinned shape</x:v>
      </x:c>
      <x:c r="K149" s="9" t="str">
        <x:v>PASS</x:v>
      </x:c>
      <x:c r="L149" s="9" t="str">
        <x:v>evidence/server-test-json-final-156.json</x:v>
      </x:c>
    </x:row>
    <x:row r="150">
      <x:c r="A150" s="9" t="str">
        <x:v>SCH-029</x:v>
      </x:c>
      <x:c r="B150" s="9" t="str">
        <x:v>Schedule</x:v>
      </x:c>
      <x:c r="C150" s="9" t="str">
        <x:v>Client bounded calendar</x:v>
      </x:c>
      <x:c r="D150" s="9" t="str">
        <x:v>PASS</x:v>
      </x:c>
      <x:c r="E150" s="9" t="str">
        <x:v>AUTOMATED</x:v>
      </x:c>
      <x:c r="F150" s="9" t="str">
        <x:v>—</x:v>
      </x:c>
      <x:c r="G150" s="9" t="str">
        <x:v>test/features/v4/client_schedule_navigation_test.dart::schedule opens the month and hides other clients</x:v>
      </x:c>
      <x:c r="H150" s="9" t="str">
        <x:v>Flutter</x:v>
      </x:c>
      <x:c r="I150" s="9" t="str">
        <x:v>test/features/v4/client_schedule_navigation_test.dart</x:v>
      </x:c>
      <x:c r="J150" s="9" t="str">
        <x:v>schedule opens the month and hides other clients</x:v>
      </x:c>
      <x:c r="K150" s="9" t="str">
        <x:v>PASS</x:v>
      </x:c>
      <x:c r="L150" s="9" t="str">
        <x:v>evidence/flutter-test-machine-final-156.ndjson</x:v>
      </x:c>
    </x:row>
    <x:row r="151">
      <x:c r="A151" s="9" t="str">
        <x:v>SCH-030</x:v>
      </x:c>
      <x:c r="B151" s="9" t="str">
        <x:v>Schedule</x:v>
      </x:c>
      <x:c r="C151" s="9" t="str">
        <x:v>Teacher read-only schedule</x:v>
      </x:c>
      <x:c r="D151" s="9" t="str">
        <x:v>PASS</x:v>
      </x:c>
      <x:c r="E151" s="9" t="str">
        <x:v>AUTOMATED</x:v>
      </x:c>
      <x:c r="F151" s="9" t="str">
        <x:v>—</x:v>
      </x:c>
      <x:c r="G151" s="9" t="str">
        <x:v>test/features/v4/teacher_schedule_read_only_test.dart::teacher uses canonical assigned-only Day/Week read-only surface</x:v>
      </x:c>
      <x:c r="H151" s="9" t="str">
        <x:v>Flutter</x:v>
      </x:c>
      <x:c r="I151" s="9" t="str">
        <x:v>test/features/v4/teacher_schedule_read_only_test.dart</x:v>
      </x:c>
      <x:c r="J151" s="9" t="str">
        <x:v>teacher uses canonical assigned-only Day/Week read-only surface</x:v>
      </x:c>
      <x:c r="K151" s="9" t="str">
        <x:v>PASS</x:v>
      </x:c>
      <x:c r="L151" s="9" t="str">
        <x:v>evidence/flutter-test-machine-final-156.ndjson</x:v>
      </x:c>
    </x:row>
    <x:row r="152">
      <x:c r="A152" s="9" t="str">
        <x:v>SCH-031</x:v>
      </x:c>
      <x:c r="B152" s="9" t="str">
        <x:v>Schedule</x:v>
      </x:c>
      <x:c r="C152" s="9" t="str">
        <x:v>Branch hours</x:v>
      </x:c>
      <x:c r="D152" s="9" t="str">
        <x:v>PASS</x:v>
      </x:c>
      <x:c r="E152" s="9" t="str">
        <x:v>AUTOMATED</x:v>
      </x:c>
      <x:c r="F152" s="9" t="str">
        <x:v>—</x:v>
      </x:c>
      <x:c r="G152" s="9" t="str">
        <x:v>server/src/crm/schedule/availability-postgres.integration.spec.ts::resolves recurring hours, exceptions, multi-branch and DST to UTC</x:v>
      </x:c>
      <x:c r="H152" s="9" t="str">
        <x:v>Server</x:v>
      </x:c>
      <x:c r="I152" s="9" t="str">
        <x:v>server/src/crm/schedule/availability-postgres.integration.spec.ts</x:v>
      </x:c>
      <x:c r="J152" s="9" t="str">
        <x:v>Availability reference data (PostgreSQL) resolves recurring hours, exceptions, multi-branch and DST to UTC</x:v>
      </x:c>
      <x:c r="K152" s="9" t="str">
        <x:v>PASS</x:v>
      </x:c>
      <x:c r="L152" s="9" t="str">
        <x:v>evidence/server-test-json-final-156.json</x:v>
      </x:c>
    </x:row>
    <x:row r="153">
      <x:c r="A153" s="9" t="str">
        <x:v>SCH-032</x:v>
      </x:c>
      <x:c r="B153" s="9" t="str">
        <x:v>Schedule</x:v>
      </x:c>
      <x:c r="C153" s="9" t="str">
        <x:v>Teacher branch assignment</x:v>
      </x:c>
      <x:c r="D153" s="9" t="str">
        <x:v>PASS</x:v>
      </x:c>
      <x:c r="E153" s="9" t="str">
        <x:v>AUTOMATED</x:v>
      </x:c>
      <x:c r="F153" s="9" t="str">
        <x:v>—</x:v>
      </x:c>
      <x:c r="G153" s="9" t="str">
        <x:v>server/src/crm/schedule/constraint-engine.spec.ts::evaluates hours, positive availability, explicit unavailability and branch assignment</x:v>
      </x:c>
      <x:c r="H153" s="9" t="str">
        <x:v>Server</x:v>
      </x:c>
      <x:c r="I153" s="9" t="str">
        <x:v>server/src/crm/schedule/constraint-engine.spec.ts</x:v>
      </x:c>
      <x:c r="J153" s="9" t="str">
        <x:v>schedule constraint engine rules evaluates hours, positive availability, explicit unavailability and branch assignment</x:v>
      </x:c>
      <x:c r="K153" s="9" t="str">
        <x:v>PASS</x:v>
      </x:c>
      <x:c r="L153" s="9" t="str">
        <x:v>evidence/server-test-json-final-156.json</x:v>
      </x:c>
    </x:row>
    <x:row r="154">
      <x:c r="A154" s="9" t="str">
        <x:v>SCH-033</x:v>
      </x:c>
      <x:c r="B154" s="9" t="str">
        <x:v>Schedule</x:v>
      </x:c>
      <x:c r="C154" s="9" t="str">
        <x:v>Teacher availability</x:v>
      </x:c>
      <x:c r="D154" s="9" t="str">
        <x:v>PASS</x:v>
      </x:c>
      <x:c r="E154" s="9" t="str">
        <x:v>AUTOMATED</x:v>
      </x:c>
      <x:c r="F154" s="9" t="str">
        <x:v>—</x:v>
      </x:c>
      <x:c r="G154" s="9" t="str">
        <x:v>server/src/crm/schedule/availability.spec.ts::supports recurring, bounded interval and indefinite unavailability</x:v>
      </x:c>
      <x:c r="H154" s="9" t="str">
        <x:v>Server</x:v>
      </x:c>
      <x:c r="I154" s="9" t="str">
        <x:v>server/src/crm/schedule/availability.spec.ts</x:v>
      </x:c>
      <x:c r="J154" s="9" t="str">
        <x:v>schedule availability rules supports recurring, bounded interval and indefinite unavailability</x:v>
      </x:c>
      <x:c r="K154" s="9" t="str">
        <x:v>PASS</x:v>
      </x:c>
      <x:c r="L154" s="9" t="str">
        <x:v>evidence/server-test-json-final-156.json</x:v>
      </x:c>
    </x:row>
    <x:row r="155">
      <x:c r="A155" s="9" t="str">
        <x:v>SCH-034</x:v>
      </x:c>
      <x:c r="B155" s="9" t="str">
        <x:v>Schedule</x:v>
      </x:c>
      <x:c r="C155" s="9" t="str">
        <x:v>Room availability</x:v>
      </x:c>
      <x:c r="D155" s="9" t="str">
        <x:v>PASS</x:v>
      </x:c>
      <x:c r="E155" s="9" t="str">
        <x:v>AUTOMATED</x:v>
      </x:c>
      <x:c r="F155" s="9" t="str">
        <x:v>—</x:v>
      </x:c>
      <x:c r="G155" s="9" t="str">
        <x:v>server/src/crm/rooms.service.spec.ts::returns room availability with slot conflicts</x:v>
      </x:c>
      <x:c r="H155" s="9" t="str">
        <x:v>Server</x:v>
      </x:c>
      <x:c r="I155" s="9" t="str">
        <x:v>server/src/crm/rooms.service.spec.ts</x:v>
      </x:c>
      <x:c r="J155" s="9" t="str">
        <x:v>RoomsService returns room availability with slot conflicts</x:v>
      </x:c>
      <x:c r="K155" s="9" t="str">
        <x:v>PASS</x:v>
      </x:c>
      <x:c r="L155" s="9" t="str">
        <x:v>evidence/server-test-json-final-156.json</x:v>
      </x:c>
    </x:row>
    <x:row r="156">
      <x:c r="A156" s="9" t="str">
        <x:v>COM-001</x:v>
      </x:c>
      <x:c r="B156" s="9" t="str">
        <x:v>Commerce</x:v>
      </x:c>
      <x:c r="C156" s="9" t="str">
        <x:v>Package catalog read</x:v>
      </x:c>
      <x:c r="D156" s="9" t="str">
        <x:v>PASS</x:v>
      </x:c>
      <x:c r="E156" s="9" t="str">
        <x:v>AUTOMATED + DEVICE</x:v>
      </x:c>
      <x:c r="F156" s="9" t="str">
        <x:v>RUN-A-049</x:v>
      </x:c>
      <x:c r="G156" s="9" t="str">
        <x:v>server/src/crm/commerce/package-catalog.integration.spec.ts::enforces the six-role read/mutate matrix</x:v>
      </x:c>
      <x:c r="H156" s="9" t="str">
        <x:v>Server</x:v>
      </x:c>
      <x:c r="I156" s="9" t="str">
        <x:v>server/src/crm/commerce/package-catalog.integration.spec.ts</x:v>
      </x:c>
      <x:c r="J156" s="9" t="str">
        <x:v>Subscription Package catalog (PostgreSQL) enforces the six-role read/mutate matrix</x:v>
      </x:c>
      <x:c r="K156" s="9" t="str">
        <x:v>PASS</x:v>
      </x:c>
      <x:c r="L156" s="9" t="str">
        <x:v>evidence/server-test-json-final-156.json</x:v>
      </x:c>
    </x:row>
    <x:row r="157">
      <x:c r="A157" s="9" t="str">
        <x:v>COM-002</x:v>
      </x:c>
      <x:c r="B157" s="9" t="str">
        <x:v>Commerce</x:v>
      </x:c>
      <x:c r="C157" s="9" t="str">
        <x:v>Create package</x:v>
      </x:c>
      <x:c r="D157" s="9" t="str">
        <x:v>PASS</x:v>
      </x:c>
      <x:c r="E157" s="9" t="str">
        <x:v>AUTOMATED</x:v>
      </x:c>
      <x:c r="F157" s="9" t="str">
        <x:v>—</x:v>
      </x:c>
      <x:c r="G157" s="9" t="str">
        <x:v>server/src/crm/commerce/package-catalog.integration.spec.ts::allows one concurrent writer and keeps audit/outbox/version in sync</x:v>
      </x:c>
      <x:c r="H157" s="9" t="str">
        <x:v>Server</x:v>
      </x:c>
      <x:c r="I157" s="9" t="str">
        <x:v>server/src/crm/commerce/package-catalog.integration.spec.ts</x:v>
      </x:c>
      <x:c r="J157" s="9" t="str">
        <x:v>Subscription Package catalog (PostgreSQL) allows one concurrent writer and keeps audit/outbox/version in sync</x:v>
      </x:c>
      <x:c r="K157" s="9" t="str">
        <x:v>PASS</x:v>
      </x:c>
      <x:c r="L157" s="9" t="str">
        <x:v>evidence/server-test-json-final-156.json</x:v>
      </x:c>
    </x:row>
    <x:row r="158">
      <x:c r="A158" s="9" t="str">
        <x:v>COM-003</x:v>
      </x:c>
      <x:c r="B158" s="9" t="str">
        <x:v>Commerce</x:v>
      </x:c>
      <x:c r="C158" s="9" t="str">
        <x:v>Edit package</x:v>
      </x:c>
      <x:c r="D158" s="9" t="str">
        <x:v>PASS</x:v>
      </x:c>
      <x:c r="E158" s="9" t="str">
        <x:v>AUTOMATED</x:v>
      </x:c>
      <x:c r="F158" s="9" t="str">
        <x:v>—</x:v>
      </x:c>
      <x:c r="G158" s="9" t="str">
        <x:v>server/src/crm/commerce/package-catalog.integration.spec.ts::issues immutable snapshots before and after catalog update</x:v>
      </x:c>
      <x:c r="H158" s="9" t="str">
        <x:v>Server</x:v>
      </x:c>
      <x:c r="I158" s="9" t="str">
        <x:v>server/src/crm/commerce/package-catalog.integration.spec.ts</x:v>
      </x:c>
      <x:c r="J158" s="9" t="str">
        <x:v>Subscription Package catalog (PostgreSQL) issues immutable snapshots before and after catalog update, then archives a used package</x:v>
      </x:c>
      <x:c r="K158" s="9" t="str">
        <x:v>PASS</x:v>
      </x:c>
      <x:c r="L158" s="9" t="str">
        <x:v>evidence/server-test-json-final-156.json</x:v>
      </x:c>
    </x:row>
    <x:row r="159">
      <x:c r="A159" s="9" t="str">
        <x:v>COM-004</x:v>
      </x:c>
      <x:c r="B159" s="9" t="str">
        <x:v>Commerce</x:v>
      </x:c>
      <x:c r="C159" s="9" t="str">
        <x:v>Archive package</x:v>
      </x:c>
      <x:c r="D159" s="9" t="str">
        <x:v>PASS</x:v>
      </x:c>
      <x:c r="E159" s="9" t="str">
        <x:v>AUTOMATED</x:v>
      </x:c>
      <x:c r="F159" s="9" t="str">
        <x:v>—</x:v>
      </x:c>
      <x:c r="G159" s="9" t="str">
        <x:v>server/src/crm/commerce/package-catalog.integration.spec.ts::keeps archived rows root-visible and restores the same versioned row</x:v>
      </x:c>
      <x:c r="H159" s="9" t="str">
        <x:v>Server</x:v>
      </x:c>
      <x:c r="I159" s="9" t="str">
        <x:v>server/src/crm/commerce/package-catalog.integration.spec.ts</x:v>
      </x:c>
      <x:c r="J159" s="9" t="str">
        <x:v>Subscription Package catalog (PostgreSQL) keeps archived rows root-visible and restores the same versioned row</x:v>
      </x:c>
      <x:c r="K159" s="9" t="str">
        <x:v>PASS</x:v>
      </x:c>
      <x:c r="L159" s="9" t="str">
        <x:v>evidence/server-test-json-final-156.json</x:v>
      </x:c>
    </x:row>
    <x:row r="160">
      <x:c r="A160" s="9" t="str">
        <x:v>COM-005</x:v>
      </x:c>
      <x:c r="B160" s="9" t="str">
        <x:v>Commerce</x:v>
      </x:c>
      <x:c r="C160" s="9" t="str">
        <x:v>Restore package</x:v>
      </x:c>
      <x:c r="D160" s="9" t="str">
        <x:v>PASS</x:v>
      </x:c>
      <x:c r="E160" s="9" t="str">
        <x:v>AUTOMATED</x:v>
      </x:c>
      <x:c r="F160" s="9" t="str">
        <x:v>—</x:v>
      </x:c>
      <x:c r="G160" s="9" t="str">
        <x:v>server/src/crm/commerce/package-catalog.integration.spec.ts::keeps archived rows root-visible and restores the same versioned row</x:v>
      </x:c>
      <x:c r="H160" s="9" t="str">
        <x:v>Server</x:v>
      </x:c>
      <x:c r="I160" s="9" t="str">
        <x:v>server/src/crm/commerce/package-catalog.integration.spec.ts</x:v>
      </x:c>
      <x:c r="J160" s="9" t="str">
        <x:v>Subscription Package catalog (PostgreSQL) keeps archived rows root-visible and restores the same versioned row</x:v>
      </x:c>
      <x:c r="K160" s="9" t="str">
        <x:v>PASS</x:v>
      </x:c>
      <x:c r="L160" s="9" t="str">
        <x:v>evidence/server-test-json-final-156.json</x:v>
      </x:c>
    </x:row>
    <x:row r="161">
      <x:c r="A161" s="9" t="str">
        <x:v>COM-006</x:v>
      </x:c>
      <x:c r="B161" s="9" t="str">
        <x:v>Commerce</x:v>
      </x:c>
      <x:c r="C161" s="9" t="str">
        <x:v>Issue Student subscription</x:v>
      </x:c>
      <x:c r="D161" s="9" t="str">
        <x:v>PASS</x:v>
      </x:c>
      <x:c r="E161" s="9" t="str">
        <x:v>AUTOMATED</x:v>
      </x:c>
      <x:c r="F161" s="9" t="str">
        <x:v>—</x:v>
      </x:c>
      <x:c r="G161" s="9" t="str">
        <x:v>server/src/crm/commerce/subscription-issue-postgres.integration.spec.ts::issues 8000 - 20% = 6400 with exact installments and no revenue</x:v>
      </x:c>
      <x:c r="H161" s="9" t="str">
        <x:v>Server</x:v>
      </x:c>
      <x:c r="I161" s="9" t="str">
        <x:v>server/src/crm/commerce/subscription-issue-postgres.integration.spec.ts</x:v>
      </x:c>
      <x:c r="J161" s="9" t="str">
        <x:v>Subscription issue, discount, installments and ActualPayment issues 8000 - 20% = 6400 with exact installments and no revenue</x:v>
      </x:c>
      <x:c r="K161" s="9" t="str">
        <x:v>PASS</x:v>
      </x:c>
      <x:c r="L161" s="9" t="str">
        <x:v>evidence/server-test-json-final-156.json</x:v>
      </x:c>
    </x:row>
    <x:row r="162">
      <x:c r="A162" s="9" t="str">
        <x:v>COM-007</x:v>
      </x:c>
      <x:c r="B162" s="9" t="str">
        <x:v>Commerce</x:v>
      </x:c>
      <x:c r="C162" s="9" t="str">
        <x:v>Issue Lead subscription</x:v>
      </x:c>
      <x:c r="D162" s="9" t="str">
        <x:v>PASS</x:v>
      </x:c>
      <x:c r="E162" s="9" t="str">
        <x:v>AUTOMATED</x:v>
      </x:c>
      <x:c r="F162" s="9" t="str">
        <x:v>—</x:v>
      </x:c>
      <x:c r="G162" s="9" t="str">
        <x:v>server/src/crm/crm-leads.controller.spec.ts::delegates the additive lead subscription issue contract</x:v>
      </x:c>
      <x:c r="H162" s="9" t="str">
        <x:v>Server</x:v>
      </x:c>
      <x:c r="I162" s="9" t="str">
        <x:v>server/src/crm/crm-leads.controller.spec.ts</x:v>
      </x:c>
      <x:c r="J162" s="9" t="str">
        <x:v>CrmLeadsController delegates the additive lead subscription issue contract</x:v>
      </x:c>
      <x:c r="K162" s="9" t="str">
        <x:v>PASS</x:v>
      </x:c>
      <x:c r="L162" s="9" t="str">
        <x:v>evidence/server-test-json-final-156.json</x:v>
      </x:c>
    </x:row>
    <x:row r="163">
      <x:c r="A163" s="9" t="str">
        <x:v>COM-008</x:v>
      </x:c>
      <x:c r="B163" s="9" t="str">
        <x:v>Commerce</x:v>
      </x:c>
      <x:c r="C163" s="9" t="str">
        <x:v>Commercial terms</x:v>
      </x:c>
      <x:c r="D163" s="9" t="str">
        <x:v>PASS</x:v>
      </x:c>
      <x:c r="E163" s="9" t="str">
        <x:v>AUTOMATED</x:v>
      </x:c>
      <x:c r="F163" s="9" t="str">
        <x:v>—</x:v>
      </x:c>
      <x:c r="G163" s="9" t="str">
        <x:v>server/src/crm/commerce/subscription-issue-postgres.integration.spec.ts::rejects invalid commercial terms atomically</x:v>
      </x:c>
      <x:c r="H163" s="9" t="str">
        <x:v>Server</x:v>
      </x:c>
      <x:c r="I163" s="9" t="str">
        <x:v>server/src/crm/commerce/subscription-issue-postgres.integration.spec.ts</x:v>
      </x:c>
      <x:c r="J163" s="9" t="str">
        <x:v>Subscription issue, discount, installments and ActualPayment rejects invalid commercial terms atomically</x:v>
      </x:c>
      <x:c r="K163" s="9" t="str">
        <x:v>PASS</x:v>
      </x:c>
      <x:c r="L163" s="9" t="str">
        <x:v>evidence/server-test-json-final-156.json</x:v>
      </x:c>
    </x:row>
    <x:row r="164">
      <x:c r="A164" s="9" t="str">
        <x:v>COM-009</x:v>
      </x:c>
      <x:c r="B164" s="9" t="str">
        <x:v>Commerce</x:v>
      </x:c>
      <x:c r="C164" s="9" t="str">
        <x:v>Record payment</x:v>
      </x:c>
      <x:c r="D164" s="9" t="str">
        <x:v>PASS</x:v>
      </x:c>
      <x:c r="E164" s="9" t="str">
        <x:v>AUTOMATED</x:v>
      </x:c>
      <x:c r="F164" s="9" t="str">
        <x:v>—</x:v>
      </x:c>
      <x:c r="G164" s="9" t="str">
        <x:v>test/features/v6/client_payments_tab_test.dart::manager records a branch-scoped immutable payment from the tab</x:v>
      </x:c>
      <x:c r="H164" s="9" t="str">
        <x:v>Flutter</x:v>
      </x:c>
      <x:c r="I164" s="9" t="str">
        <x:v>test/features/v6/client_payments_tab_test.dart</x:v>
      </x:c>
      <x:c r="J164" s="9" t="str">
        <x:v>manager records a branch-scoped immutable payment from the tab</x:v>
      </x:c>
      <x:c r="K164" s="9" t="str">
        <x:v>PASS</x:v>
      </x:c>
      <x:c r="L164" s="9" t="str">
        <x:v>evidence/flutter-test-machine-final-156.ndjson</x:v>
      </x:c>
    </x:row>
    <x:row r="165">
      <x:c r="A165" s="9" t="str">
        <x:v>COM-010</x:v>
      </x:c>
      <x:c r="B165" s="9" t="str">
        <x:v>Commerce</x:v>
      </x:c>
      <x:c r="C165" s="9" t="str">
        <x:v>Client commerce self view</x:v>
      </x:c>
      <x:c r="D165" s="9" t="str">
        <x:v>PASS</x:v>
      </x:c>
      <x:c r="E165" s="9" t="str">
        <x:v>AUTOMATED + DEVICE</x:v>
      </x:c>
      <x:c r="F165" s="9" t="str">
        <x:v>RUN-A-017</x:v>
      </x:c>
      <x:c r="G165" s="9" t="str">
        <x:v>server/src/crm/commerce/commerce-projections.contract.spec.ts::returns the separate client self envelope without embedded internals</x:v>
      </x:c>
      <x:c r="H165" s="9" t="str">
        <x:v>Server</x:v>
      </x:c>
      <x:c r="I165" s="9" t="str">
        <x:v>server/src/crm/commerce/commerce-projections.contract.spec.ts</x:v>
      </x:c>
      <x:c r="J165" s="9" t="str">
        <x:v>v4 commerce projections contract returns the separate client self envelope without embedded internals</x:v>
      </x:c>
      <x:c r="K165" s="9" t="str">
        <x:v>PASS</x:v>
      </x:c>
      <x:c r="L165" s="9" t="str">
        <x:v>evidence/server-test-json-final-156.json</x:v>
      </x:c>
    </x:row>
    <x:row r="166">
      <x:c r="A166" s="9" t="str">
        <x:v>COM-011</x:v>
      </x:c>
      <x:c r="B166" s="9" t="str">
        <x:v>Commerce</x:v>
      </x:c>
      <x:c r="C166" s="9" t="str">
        <x:v>Staff client commerce view</x:v>
      </x:c>
      <x:c r="D166" s="9" t="str">
        <x:v>PASS</x:v>
      </x:c>
      <x:c r="E166" s="9" t="str">
        <x:v>AUTOMATED</x:v>
      </x:c>
      <x:c r="F166" s="9" t="str">
        <x:v>—</x:v>
      </x:c>
      <x:c r="G166" s="9" t="str">
        <x:v>server/src/crm/commerce/commerce-projections.contract.spec.ts::sanitizes client DTOs and only retains discount reason for staff</x:v>
      </x:c>
      <x:c r="H166" s="9" t="str">
        <x:v>Server</x:v>
      </x:c>
      <x:c r="I166" s="9" t="str">
        <x:v>server/src/crm/commerce/commerce-projections.contract.spec.ts</x:v>
      </x:c>
      <x:c r="J166" s="9" t="str">
        <x:v>v4 commerce projections contract sanitizes client DTOs and only retains discount reason for staff</x:v>
      </x:c>
      <x:c r="K166" s="9" t="str">
        <x:v>PASS</x:v>
      </x:c>
      <x:c r="L166" s="9" t="str">
        <x:v>evidence/server-test-json-final-156.json</x:v>
      </x:c>
    </x:row>
    <x:row r="167">
      <x:c r="A167" s="9" t="str">
        <x:v>COM-012</x:v>
      </x:c>
      <x:c r="B167" s="9" t="str">
        <x:v>Commerce</x:v>
      </x:c>
      <x:c r="C167" s="9" t="str">
        <x:v>Paid lesson balance</x:v>
      </x:c>
      <x:c r="D167" s="9" t="str">
        <x:v>PASS</x:v>
      </x:c>
      <x:c r="E167" s="9" t="str">
        <x:v>AUTOMATED</x:v>
      </x:c>
      <x:c r="F167" s="9" t="str">
        <x:v>—</x:v>
      </x:c>
      <x:c r="G167" s="9" t="str">
        <x:v>test/features/v6/client_payments_tab_test.dart::lesson tab shows the reconciled server balance and its links</x:v>
      </x:c>
      <x:c r="H167" s="9" t="str">
        <x:v>Flutter</x:v>
      </x:c>
      <x:c r="I167" s="9" t="str">
        <x:v>test/features/v6/client_payments_tab_test.dart</x:v>
      </x:c>
      <x:c r="J167" s="9" t="str">
        <x:v>lesson tab shows the reconciled server balance and its links</x:v>
      </x:c>
      <x:c r="K167" s="9" t="str">
        <x:v>PASS</x:v>
      </x:c>
      <x:c r="L167" s="9" t="str">
        <x:v>evidence/flutter-test-machine-final-156.ndjson</x:v>
      </x:c>
    </x:row>
    <x:row r="168">
      <x:c r="A168" s="9" t="str">
        <x:v>COM-013</x:v>
      </x:c>
      <x:c r="B168" s="9" t="str">
        <x:v>Commerce</x:v>
      </x:c>
      <x:c r="C168" s="9" t="str">
        <x:v>Client ledger</x:v>
      </x:c>
      <x:c r="D168" s="9" t="str">
        <x:v>PASS</x:v>
      </x:c>
      <x:c r="E168" s="9" t="str">
        <x:v>AUTOMATED</x:v>
      </x:c>
      <x:c r="F168" s="9" t="str">
        <x:v>—</x:v>
      </x:c>
      <x:c r="G168" s="9" t="str">
        <x:v>server/src/crm/finance.service.spec.ts::lists the student ledger with signed amounts, totals and direction filter</x:v>
      </x:c>
      <x:c r="H168" s="9" t="str">
        <x:v>Server</x:v>
      </x:c>
      <x:c r="I168" s="9" t="str">
        <x:v>server/src/crm/finance.service.spec.ts</x:v>
      </x:c>
      <x:c r="J168" s="9" t="str">
        <x:v>FinanceService lists the student ledger with signed amounts, totals and direction filter</x:v>
      </x:c>
      <x:c r="K168" s="9" t="str">
        <x:v>PASS</x:v>
      </x:c>
      <x:c r="L168" s="9" t="str">
        <x:v>evidence/server-test-json-final-156.json</x:v>
      </x:c>
    </x:row>
    <x:row r="169">
      <x:c r="A169" s="9" t="str">
        <x:v>COM-014</x:v>
      </x:c>
      <x:c r="B169" s="9" t="str">
        <x:v>Commerce</x:v>
      </x:c>
      <x:c r="C169" s="9" t="str">
        <x:v>Ledger adjustment</x:v>
      </x:c>
      <x:c r="D169" s="9" t="str">
        <x:v>PASS</x:v>
      </x:c>
      <x:c r="E169" s="9" t="str">
        <x:v>AUTOMATED</x:v>
      </x:c>
      <x:c r="F169" s="9" t="str">
        <x:v>—</x:v>
      </x:c>
      <x:c r="G169" s="9" t="str">
        <x:v>server/src/crm/commerce/subscription-issue-postgres.integration.spec.ts::issues 8000 - 20% = 6400 with exact installments and no revenue</x:v>
      </x:c>
      <x:c r="H169" s="9" t="str">
        <x:v>Server</x:v>
      </x:c>
      <x:c r="I169" s="9" t="str">
        <x:v>server/src/crm/commerce/subscription-issue-postgres.integration.spec.ts</x:v>
      </x:c>
      <x:c r="J169" s="9" t="str">
        <x:v>Subscription issue, discount, installments and ActualPayment issues 8000 - 20% = 6400 with exact installments and no revenue</x:v>
      </x:c>
      <x:c r="K169" s="9" t="str">
        <x:v>PASS</x:v>
      </x:c>
      <x:c r="L169" s="9" t="str">
        <x:v>evidence/server-test-json-final-156.json</x:v>
      </x:c>
    </x:row>
    <x:row r="170">
      <x:c r="A170" s="9" t="str">
        <x:v>COM-015</x:v>
      </x:c>
      <x:c r="B170" s="9" t="str">
        <x:v>Commerce</x:v>
      </x:c>
      <x:c r="C170" s="9" t="str">
        <x:v>Balance transfer</x:v>
      </x:c>
      <x:c r="D170" s="9" t="str">
        <x:v>PASS</x:v>
      </x:c>
      <x:c r="E170" s="9" t="str">
        <x:v>AUTOMATED</x:v>
      </x:c>
      <x:c r="F170" s="9" t="str">
        <x:v>—</x:v>
      </x:c>
      <x:c r="G170" s="9" t="str">
        <x:v>server/src/crm/finance.service.spec.ts::writes both legs with opposite signs and links the counterparties</x:v>
      </x:c>
      <x:c r="H170" s="9" t="str">
        <x:v>Server</x:v>
      </x:c>
      <x:c r="I170" s="9" t="str">
        <x:v>server/src/crm/finance.service.spec.ts</x:v>
      </x:c>
      <x:c r="J170" s="9" t="str">
        <x:v>FinanceService createAccountTransfer writes both legs with opposite signs and links the counterparties</x:v>
      </x:c>
      <x:c r="K170" s="9" t="str">
        <x:v>PASS</x:v>
      </x:c>
      <x:c r="L170" s="9" t="str">
        <x:v>evidence/server-test-json-final-156.json</x:v>
      </x:c>
    </x:row>
    <x:row r="171">
      <x:c r="A171" s="9" t="str">
        <x:v>COM-016</x:v>
      </x:c>
      <x:c r="B171" s="9" t="str">
        <x:v>Commerce</x:v>
      </x:c>
      <x:c r="C171" s="9" t="str">
        <x:v>Expected payments</x:v>
      </x:c>
      <x:c r="D171" s="9" t="str">
        <x:v>PASS</x:v>
      </x:c>
      <x:c r="E171" s="9" t="str">
        <x:v>AUTOMATED</x:v>
      </x:c>
      <x:c r="F171" s="9" t="str">
        <x:v>—</x:v>
      </x:c>
      <x:c r="G171" s="9" t="str">
        <x:v>server/src/crm/finance.service.spec.ts::lists expected payments after student read authorization</x:v>
      </x:c>
      <x:c r="H171" s="9" t="str">
        <x:v>Server</x:v>
      </x:c>
      <x:c r="I171" s="9" t="str">
        <x:v>server/src/crm/finance.service.spec.ts</x:v>
      </x:c>
      <x:c r="J171" s="9" t="str">
        <x:v>FinanceService lists expected payments after student read authorization</x:v>
      </x:c>
      <x:c r="K171" s="9" t="str">
        <x:v>PASS</x:v>
      </x:c>
      <x:c r="L171" s="9" t="str">
        <x:v>evidence/server-test-json-final-156.json</x:v>
      </x:c>
    </x:row>
    <x:row r="172">
      <x:c r="A172" s="9" t="str">
        <x:v>COM-017</x:v>
      </x:c>
      <x:c r="B172" s="9" t="str">
        <x:v>Commerce</x:v>
      </x:c>
      <x:c r="C172" s="9" t="str">
        <x:v>Subscription replacement preview</x:v>
      </x:c>
      <x:c r="D172" s="9" t="str">
        <x:v>PASS</x:v>
      </x:c>
      <x:c r="E172" s="9" t="str">
        <x:v>AUTOMATED</x:v>
      </x:c>
      <x:c r="F172" s="9" t="str">
        <x:v>—</x:v>
      </x:c>
      <x:c r="G172" s="9" t="str">
        <x:v>server/src/crm/commerce/subscription-replace-postgres.integration.spec.ts::blocks insufficient volume, cross-currency and cross-student paths</x:v>
      </x:c>
      <x:c r="H172" s="9" t="str">
        <x:v>Server</x:v>
      </x:c>
      <x:c r="I172" s="9" t="str">
        <x:v>server/src/crm/commerce/subscription-replace-postgres.integration.spec.ts</x:v>
      </x:c>
      <x:c r="J172" s="9" t="str">
        <x:v>Subscription replacement preview/confirm blocks insufficient volume, cross-currency and cross-student paths with persisted=0</x:v>
      </x:c>
      <x:c r="K172" s="9" t="str">
        <x:v>PASS</x:v>
      </x:c>
      <x:c r="L172" s="9" t="str">
        <x:v>evidence/server-test-json-final-156.json</x:v>
      </x:c>
    </x:row>
    <x:row r="173">
      <x:c r="A173" s="9" t="str">
        <x:v>COM-018</x:v>
      </x:c>
      <x:c r="B173" s="9" t="str">
        <x:v>Commerce</x:v>
      </x:c>
      <x:c r="C173" s="9" t="str">
        <x:v>Replace subscription</x:v>
      </x:c>
      <x:c r="D173" s="9" t="str">
        <x:v>PASS</x:v>
      </x:c>
      <x:c r="E173" s="9" t="str">
        <x:v>AUTOMATED</x:v>
      </x:c>
      <x:c r="F173" s="9" t="str">
        <x:v>—</x:v>
      </x:c>
      <x:c r="G173" s="9" t="str">
        <x:v>server/src/crm/commerce/subscription-replace-postgres.integration.spec.ts::replaces with a dearer snapshot, preserves payment</x:v>
      </x:c>
      <x:c r="H173" s="9" t="str">
        <x:v>Server</x:v>
      </x:c>
      <x:c r="I173" s="9" t="str">
        <x:v>server/src/crm/commerce/subscription-replace-postgres.integration.spec.ts</x:v>
      </x:c>
      <x:c r="J173" s="9" t="str">
        <x:v>Subscription replacement preview/confirm replaces with a dearer snapshot, preserves payment and deterministically releases overflow reservations</x:v>
      </x:c>
      <x:c r="K173" s="9" t="str">
        <x:v>PASS</x:v>
      </x:c>
      <x:c r="L173" s="9" t="str">
        <x:v>evidence/server-test-json-final-156.json</x:v>
      </x:c>
    </x:row>
    <x:row r="174">
      <x:c r="A174" s="9" t="str">
        <x:v>COM-019</x:v>
      </x:c>
      <x:c r="B174" s="9" t="str">
        <x:v>Commerce</x:v>
      </x:c>
      <x:c r="C174" s="9" t="str">
        <x:v>Cancellation preview</x:v>
      </x:c>
      <x:c r="D174" s="9" t="str">
        <x:v>PASS</x:v>
      </x:c>
      <x:c r="E174" s="9" t="str">
        <x:v>AUTOMATED</x:v>
      </x:c>
      <x:c r="F174" s="9" t="str">
        <x:v>—</x:v>
      </x:c>
      <x:c r="G174" s="9" t="str">
        <x:v>server/src/crm/commerce/subscription-cancel-postgres.integration.spec.ts::previews immutable payments/writeoffs/balance and future lessons</x:v>
      </x:c>
      <x:c r="H174" s="9" t="str">
        <x:v>Server</x:v>
      </x:c>
      <x:c r="I174" s="9" t="str">
        <x:v>server/src/crm/commerce/subscription-cancel-postgres.integration.spec.ts</x:v>
      </x:c>
      <x:c r="J174" s="9" t="str">
        <x:v>Subscription cancellation preview/confirm previews immutable payments/writeoffs/balance and future lessons</x:v>
      </x:c>
      <x:c r="K174" s="9" t="str">
        <x:v>PASS</x:v>
      </x:c>
      <x:c r="L174" s="9" t="str">
        <x:v>evidence/server-test-json-final-156.json</x:v>
      </x:c>
    </x:row>
    <x:row r="175">
      <x:c r="A175" s="9" t="str">
        <x:v>COM-020</x:v>
      </x:c>
      <x:c r="B175" s="9" t="str">
        <x:v>Commerce</x:v>
      </x:c>
      <x:c r="C175" s="9" t="str">
        <x:v>Cancel subscription</x:v>
      </x:c>
      <x:c r="D175" s="9" t="str">
        <x:v>PASS</x:v>
      </x:c>
      <x:c r="E175" s="9" t="str">
        <x:v>AUTOMATED</x:v>
      </x:c>
      <x:c r="F175" s="9" t="str">
        <x:v>—</x:v>
      </x:c>
      <x:c r="G175" s="9" t="str">
        <x:v>server/src/crm/commerce/subscription-cancel-postgres.integration.spec.ts::cancels lifecycle-only, releases reservations and preserves every finance/lesson fact</x:v>
      </x:c>
      <x:c r="H175" s="9" t="str">
        <x:v>Server</x:v>
      </x:c>
      <x:c r="I175" s="9" t="str">
        <x:v>server/src/crm/commerce/subscription-cancel-postgres.integration.spec.ts</x:v>
      </x:c>
      <x:c r="J175" s="9" t="str">
        <x:v>Subscription cancellation preview/confirm cancels lifecycle-only, releases reservations and preserves every finance/lesson fact</x:v>
      </x:c>
      <x:c r="K175" s="9" t="str">
        <x:v>PASS</x:v>
      </x:c>
      <x:c r="L175" s="9" t="str">
        <x:v>evidence/server-test-json-final-156.json</x:v>
      </x:c>
    </x:row>
    <x:row r="176">
      <x:c r="A176" s="9" t="str">
        <x:v>COM-021</x:v>
      </x:c>
      <x:c r="B176" s="9" t="str">
        <x:v>Commerce</x:v>
      </x:c>
      <x:c r="C176" s="9" t="str">
        <x:v>Expenses list</x:v>
      </x:c>
      <x:c r="D176" s="9" t="str">
        <x:v>PASS</x:v>
      </x:c>
      <x:c r="E176" s="9" t="str">
        <x:v>AUTOMATED</x:v>
      </x:c>
      <x:c r="F176" s="9" t="str">
        <x:v>—</x:v>
      </x:c>
      <x:c r="G176" s="9" t="str">
        <x:v>server/src/crm/finance.service.spec.ts::lists expenses with branch/category filters and a total</x:v>
      </x:c>
      <x:c r="H176" s="9" t="str">
        <x:v>Server</x:v>
      </x:c>
      <x:c r="I176" s="9" t="str">
        <x:v>server/src/crm/finance.service.spec.ts</x:v>
      </x:c>
      <x:c r="J176" s="9" t="str">
        <x:v>FinanceService lists expenses with branch/category filters and a total (P5-5)</x:v>
      </x:c>
      <x:c r="K176" s="9" t="str">
        <x:v>PASS</x:v>
      </x:c>
      <x:c r="L176" s="9" t="str">
        <x:v>evidence/server-test-json-final-156.json</x:v>
      </x:c>
    </x:row>
    <x:row r="177">
      <x:c r="A177" s="9" t="str">
        <x:v>COM-022</x:v>
      </x:c>
      <x:c r="B177" s="9" t="str">
        <x:v>Commerce</x:v>
      </x:c>
      <x:c r="C177" s="9" t="str">
        <x:v>Manage expense</x:v>
      </x:c>
      <x:c r="D177" s="9" t="str">
        <x:v>PASS</x:v>
      </x:c>
      <x:c r="E177" s="9" t="str">
        <x:v>AUTOMATED</x:v>
      </x:c>
      <x:c r="F177" s="9" t="str">
        <x:v>—</x:v>
      </x:c>
      <x:c r="G177" s="9" t="str">
        <x:v>server/src/crm/finance.service.spec.ts::creates expenses through CRM write policy and audit</x:v>
      </x:c>
      <x:c r="H177" s="9" t="str">
        <x:v>Server</x:v>
      </x:c>
      <x:c r="I177" s="9" t="str">
        <x:v>server/src/crm/finance.service.spec.ts</x:v>
      </x:c>
      <x:c r="J177" s="9" t="str">
        <x:v>FinanceService creates expenses through CRM write policy and audit (P5-5)</x:v>
      </x:c>
      <x:c r="K177" s="9" t="str">
        <x:v>PASS</x:v>
      </x:c>
      <x:c r="L177" s="9" t="str">
        <x:v>evidence/server-test-json-final-156.json</x:v>
      </x:c>
    </x:row>
    <x:row r="178">
      <x:c r="A178" s="9" t="str">
        <x:v>COM-023</x:v>
      </x:c>
      <x:c r="B178" s="9" t="str">
        <x:v>Commerce</x:v>
      </x:c>
      <x:c r="C178" s="9" t="str">
        <x:v>Finance realtime invalidation</x:v>
      </x:c>
      <x:c r="D178" s="9" t="str">
        <x:v>PASS</x:v>
      </x:c>
      <x:c r="E178" s="9" t="str">
        <x:v>AUTOMATED</x:v>
      </x:c>
      <x:c r="F178" s="9" t="str">
        <x:v>—</x:v>
      </x:c>
      <x:c r="G178" s="9" t="str">
        <x:v>server/src/realtime/realtime-bus.spec.ts::broadcasts an opaque finance hint to staff and client rooms only</x:v>
      </x:c>
      <x:c r="H178" s="9" t="str">
        <x:v>Server</x:v>
      </x:c>
      <x:c r="I178" s="9" t="str">
        <x:v>server/src/realtime/realtime-bus.spec.ts</x:v>
      </x:c>
      <x:c r="J178" s="9" t="str">
        <x:v>RealtimeBus broadcasts an opaque finance hint to staff and client rooms only</x:v>
      </x:c>
      <x:c r="K178" s="9" t="str">
        <x:v>PASS</x:v>
      </x:c>
      <x:c r="L178" s="9" t="str">
        <x:v>evidence/server-test-json-final-156.json</x:v>
      </x:c>
    </x:row>
    <x:row r="179">
      <x:c r="A179" s="9" t="str">
        <x:v>TASK-001</x:v>
      </x:c>
      <x:c r="B179" s="9" t="str">
        <x:v>Shared Tasks</x:v>
      </x:c>
      <x:c r="C179" s="9" t="str">
        <x:v>Task list</x:v>
      </x:c>
      <x:c r="D179" s="9" t="str">
        <x:v>PASS</x:v>
      </x:c>
      <x:c r="E179" s="9" t="str">
        <x:v>AUTOMATED + DEVICE</x:v>
      </x:c>
      <x:c r="F179" s="9" t="str">
        <x:v>RUN-A-038</x:v>
      </x:c>
      <x:c r="G179" s="9" t="str">
        <x:v>server/src/crm/tasks/shared-task-postgres.integration.spec.ts::uses the dashboard predicate for the open-task detail</x:v>
      </x:c>
      <x:c r="H179" s="9" t="str">
        <x:v>Server</x:v>
      </x:c>
      <x:c r="I179" s="9" t="str">
        <x:v>server/src/crm/tasks/shared-task-postgres.integration.spec.ts</x:v>
      </x:c>
      <x:c r="J179" s="9" t="str">
        <x:v>SharedTask API domain (PostgreSQL) uses the dashboard predicate for the open-task detail</x:v>
      </x:c>
      <x:c r="K179" s="9" t="str">
        <x:v>PASS</x:v>
      </x:c>
      <x:c r="L179" s="9" t="str">
        <x:v>evidence/server-test-json-final-156.json</x:v>
      </x:c>
    </x:row>
    <x:row r="180">
      <x:c r="A180" s="9" t="str">
        <x:v>TASK-002</x:v>
      </x:c>
      <x:c r="B180" s="9" t="str">
        <x:v>Shared Tasks</x:v>
      </x:c>
      <x:c r="C180" s="9" t="str">
        <x:v>Task filters</x:v>
      </x:c>
      <x:c r="D180" s="9" t="str">
        <x:v>PASS</x:v>
      </x:c>
      <x:c r="E180" s="9" t="str">
        <x:v>AUTOMATED + DEVICE</x:v>
      </x:c>
      <x:c r="F180" s="9" t="str">
        <x:v>RUN-A-039</x:v>
      </x:c>
      <x:c r="G180" s="9" t="str">
        <x:v>server/src/crm/tasks/shared-task-postgres.integration.spec.ts::filters, groups by day and lets another manager reassign an open task</x:v>
      </x:c>
      <x:c r="H180" s="9" t="str">
        <x:v>Server</x:v>
      </x:c>
      <x:c r="I180" s="9" t="str">
        <x:v>server/src/crm/tasks/shared-task-postgres.integration.spec.ts</x:v>
      </x:c>
      <x:c r="J180" s="9" t="str">
        <x:v>SharedTask API domain (PostgreSQL) filters, groups by day and lets another manager reassign an open task</x:v>
      </x:c>
      <x:c r="K180" s="9" t="str">
        <x:v>PASS</x:v>
      </x:c>
      <x:c r="L180" s="9" t="str">
        <x:v>evidence/server-test-json-final-156.json</x:v>
      </x:c>
    </x:row>
    <x:row r="181">
      <x:c r="A181" s="9" t="str">
        <x:v>TASK-003</x:v>
      </x:c>
      <x:c r="B181" s="9" t="str">
        <x:v>Shared Tasks</x:v>
      </x:c>
      <x:c r="C181" s="9" t="str">
        <x:v>Audience preview</x:v>
      </x:c>
      <x:c r="D181" s="9" t="str">
        <x:v>PASS</x:v>
      </x:c>
      <x:c r="E181" s="9" t="str">
        <x:v>AUTOMATED</x:v>
      </x:c>
      <x:c r="F181" s="9" t="str">
        <x:v>—</x:v>
      </x:c>
      <x:c r="G181" s="9" t="str">
        <x:v>test/features/v4/shared_tasks_ui_test.dart::recipient preview distinguishes people, branch and school</x:v>
      </x:c>
      <x:c r="H181" s="9" t="str">
        <x:v>Flutter</x:v>
      </x:c>
      <x:c r="I181" s="9" t="str">
        <x:v>test/features/v4/shared_tasks_ui_test.dart</x:v>
      </x:c>
      <x:c r="J181" s="9" t="str">
        <x:v>recipient preview distinguishes people, branch and school</x:v>
      </x:c>
      <x:c r="K181" s="9" t="str">
        <x:v>PASS</x:v>
      </x:c>
      <x:c r="L181" s="9" t="str">
        <x:v>evidence/flutter-test-machine-final-156.ndjson</x:v>
      </x:c>
    </x:row>
    <x:row r="182">
      <x:c r="A182" s="9" t="str">
        <x:v>TASK-004</x:v>
      </x:c>
      <x:c r="B182" s="9" t="str">
        <x:v>Shared Tasks</x:v>
      </x:c>
      <x:c r="C182" s="9" t="str">
        <x:v>Fail-closed preview</x:v>
      </x:c>
      <x:c r="D182" s="9" t="str">
        <x:v>PASS</x:v>
      </x:c>
      <x:c r="E182" s="9" t="str">
        <x:v>AUTOMATED</x:v>
      </x:c>
      <x:c r="F182" s="9" t="str">
        <x:v>—</x:v>
      </x:c>
      <x:c r="G182" s="9" t="str">
        <x:v>test/features/v4/shared_tasks_ui_test.dart::failed recipient preview blocks submit until retry succeeds</x:v>
      </x:c>
      <x:c r="H182" s="9" t="str">
        <x:v>Flutter</x:v>
      </x:c>
      <x:c r="I182" s="9" t="str">
        <x:v>test/features/v4/shared_tasks_ui_test.dart</x:v>
      </x:c>
      <x:c r="J182" s="9" t="str">
        <x:v>failed recipient preview blocks submit until retry succeeds</x:v>
      </x:c>
      <x:c r="K182" s="9" t="str">
        <x:v>PASS</x:v>
      </x:c>
      <x:c r="L182" s="9" t="str">
        <x:v>evidence/flutter-test-machine-final-156.ndjson</x:v>
      </x:c>
    </x:row>
    <x:row r="183">
      <x:c r="A183" s="9" t="str">
        <x:v>TASK-005</x:v>
      </x:c>
      <x:c r="B183" s="9" t="str">
        <x:v>Shared Tasks</x:v>
      </x:c>
      <x:c r="C183" s="9" t="str">
        <x:v>Create task</x:v>
      </x:c>
      <x:c r="D183" s="9" t="str">
        <x:v>PASS</x:v>
      </x:c>
      <x:c r="E183" s="9" t="str">
        <x:v>AUTOMATED</x:v>
      </x:c>
      <x:c r="F183" s="9" t="str">
        <x:v>—</x:v>
      </x:c>
      <x:c r="G183" s="9" t="str">
        <x:v>server/src/crm/tasks/shared-task-postgres.integration.spec.ts::deduplicates create and resolves branch membership at request time</x:v>
      </x:c>
      <x:c r="H183" s="9" t="str">
        <x:v>Server</x:v>
      </x:c>
      <x:c r="I183" s="9" t="str">
        <x:v>server/src/crm/tasks/shared-task-postgres.integration.spec.ts</x:v>
      </x:c>
      <x:c r="J183" s="9" t="str">
        <x:v>SharedTask API domain (PostgreSQL) deduplicates create and resolves branch membership at request time</x:v>
      </x:c>
      <x:c r="K183" s="9" t="str">
        <x:v>PASS</x:v>
      </x:c>
      <x:c r="L183" s="9" t="str">
        <x:v>evidence/server-test-json-final-156.json</x:v>
      </x:c>
    </x:row>
    <x:row r="184">
      <x:c r="A184" s="9" t="str">
        <x:v>TASK-006</x:v>
      </x:c>
      <x:c r="B184" s="9" t="str">
        <x:v>Shared Tasks</x:v>
      </x:c>
      <x:c r="C184" s="9" t="str">
        <x:v>Update task</x:v>
      </x:c>
      <x:c r="D184" s="9" t="str">
        <x:v>PASS</x:v>
      </x:c>
      <x:c r="E184" s="9" t="str">
        <x:v>AUTOMATED</x:v>
      </x:c>
      <x:c r="F184" s="9" t="str">
        <x:v>—</x:v>
      </x:c>
      <x:c r="G184" s="9" t="str">
        <x:v>server/src/crm/tasks/shared-task-postgres.integration.spec.ts::filters, groups by day and lets another manager reassign an open task</x:v>
      </x:c>
      <x:c r="H184" s="9" t="str">
        <x:v>Server</x:v>
      </x:c>
      <x:c r="I184" s="9" t="str">
        <x:v>server/src/crm/tasks/shared-task-postgres.integration.spec.ts</x:v>
      </x:c>
      <x:c r="J184" s="9" t="str">
        <x:v>SharedTask API domain (PostgreSQL) filters, groups by day and lets another manager reassign an open task</x:v>
      </x:c>
      <x:c r="K184" s="9" t="str">
        <x:v>PASS</x:v>
      </x:c>
      <x:c r="L184" s="9" t="str">
        <x:v>evidence/server-test-json-final-156.json</x:v>
      </x:c>
    </x:row>
    <x:row r="185">
      <x:c r="A185" s="9" t="str">
        <x:v>TASK-007</x:v>
      </x:c>
      <x:c r="B185" s="9" t="str">
        <x:v>Shared Tasks</x:v>
      </x:c>
      <x:c r="C185" s="9" t="str">
        <x:v>Close task</x:v>
      </x:c>
      <x:c r="D185" s="9" t="str">
        <x:v>PASS</x:v>
      </x:c>
      <x:c r="E185" s="9" t="str">
        <x:v>AUTOMATED</x:v>
      </x:c>
      <x:c r="F185" s="9" t="str">
        <x:v>—</x:v>
      </x:c>
      <x:c r="G185" s="9" t="str">
        <x:v>server/src/crm/tasks/shared-task-postgres.integration.spec.ts::returns one stable result when two current audience members close concurrently</x:v>
      </x:c>
      <x:c r="H185" s="9" t="str">
        <x:v>Server</x:v>
      </x:c>
      <x:c r="I185" s="9" t="str">
        <x:v>server/src/crm/tasks/shared-task-postgres.integration.spec.ts</x:v>
      </x:c>
      <x:c r="J185" s="9" t="str">
        <x:v>SharedTask API domain (PostgreSQL) returns one stable result when two current audience members close concurrently</x:v>
      </x:c>
      <x:c r="K185" s="9" t="str">
        <x:v>PASS</x:v>
      </x:c>
      <x:c r="L185" s="9" t="str">
        <x:v>evidence/server-test-json-final-156.json</x:v>
      </x:c>
    </x:row>
    <x:row r="186">
      <x:c r="A186" s="9" t="str">
        <x:v>TASK-008</x:v>
      </x:c>
      <x:c r="B186" s="9" t="str">
        <x:v>Shared Tasks</x:v>
      </x:c>
      <x:c r="C186" s="9" t="str">
        <x:v>Task history</x:v>
      </x:c>
      <x:c r="D186" s="9" t="str">
        <x:v>PASS</x:v>
      </x:c>
      <x:c r="E186" s="9" t="str">
        <x:v>AUTOMATED</x:v>
      </x:c>
      <x:c r="F186" s="9" t="str">
        <x:v>—</x:v>
      </x:c>
      <x:c r="G186" s="9" t="str">
        <x:v>test/features/v4/shared_tasks_ui_test.dart::direct task link uses canonical filters and opens history</x:v>
      </x:c>
      <x:c r="H186" s="9" t="str">
        <x:v>Flutter</x:v>
      </x:c>
      <x:c r="I186" s="9" t="str">
        <x:v>test/features/v4/shared_tasks_ui_test.dart</x:v>
      </x:c>
      <x:c r="J186" s="9" t="str">
        <x:v>direct task link uses canonical filters and opens history</x:v>
      </x:c>
      <x:c r="K186" s="9" t="str">
        <x:v>PASS</x:v>
      </x:c>
      <x:c r="L186" s="9" t="str">
        <x:v>evidence/flutter-test-machine-final-156.ndjson</x:v>
      </x:c>
    </x:row>
    <x:row r="187">
      <x:c r="A187" s="9" t="str">
        <x:v>TASK-009</x:v>
      </x:c>
      <x:c r="B187" s="9" t="str">
        <x:v>Shared Tasks</x:v>
      </x:c>
      <x:c r="C187" s="9" t="str">
        <x:v>Task calendar</x:v>
      </x:c>
      <x:c r="D187" s="9" t="str">
        <x:v>PASS</x:v>
      </x:c>
      <x:c r="E187" s="9" t="str">
        <x:v>AUTOMATED</x:v>
      </x:c>
      <x:c r="F187" s="9" t="str">
        <x:v>—</x:v>
      </x:c>
      <x:c r="G187" s="9" t="str">
        <x:v>test/core/services/magic_crm_service_test.dart::uses canonical task filters and calendar</x:v>
      </x:c>
      <x:c r="H187" s="9" t="str">
        <x:v>Flutter</x:v>
      </x:c>
      <x:c r="I187" s="9" t="str">
        <x:v>test/core/services/magic_crm_service_test.dart</x:v>
      </x:c>
      <x:c r="J187" s="9" t="str">
        <x:v>MagicCrmService uses canonical task filters and calendar</x:v>
      </x:c>
      <x:c r="K187" s="9" t="str">
        <x:v>PASS</x:v>
      </x:c>
      <x:c r="L187" s="9" t="str">
        <x:v>evidence/flutter-test-machine-final-156.ndjson</x:v>
      </x:c>
    </x:row>
    <x:row r="188">
      <x:c r="A188" s="9" t="str">
        <x:v>TASK-010</x:v>
      </x:c>
      <x:c r="B188" s="9" t="str">
        <x:v>Shared Tasks</x:v>
      </x:c>
      <x:c r="C188" s="9" t="str">
        <x:v>Client linked tasks</x:v>
      </x:c>
      <x:c r="D188" s="9" t="str">
        <x:v>PASS</x:v>
      </x:c>
      <x:c r="E188" s="9" t="str">
        <x:v>AUTOMATED</x:v>
      </x:c>
      <x:c r="F188" s="9" t="str">
        <x:v>—</x:v>
      </x:c>
      <x:c r="G188" s="9" t="str">
        <x:v>server/src/crm/clients/client-card.integration.spec.ts::keeps client Tasks out of the Admin projection</x:v>
      </x:c>
      <x:c r="H188" s="9" t="str">
        <x:v>Server</x:v>
      </x:c>
      <x:c r="I188" s="9" t="str">
        <x:v>server/src/crm/clients/client-card.integration.spec.ts</x:v>
      </x:c>
      <x:c r="J188" s="9" t="str">
        <x:v>ClientCardReadService (PostgreSQL) keeps client Tasks out of the Admin projection</x:v>
      </x:c>
      <x:c r="K188" s="9" t="str">
        <x:v>PASS</x:v>
      </x:c>
      <x:c r="L188" s="9" t="str">
        <x:v>evidence/server-test-json-final-156.json</x:v>
      </x:c>
    </x:row>
    <x:row r="189">
      <x:c r="A189" s="9" t="str">
        <x:v>TASK-011</x:v>
      </x:c>
      <x:c r="B189" s="9" t="str">
        <x:v>Shared Tasks</x:v>
      </x:c>
      <x:c r="C189" s="9" t="str">
        <x:v>Lead quick task</x:v>
      </x:c>
      <x:c r="D189" s="9" t="str">
        <x:v>PASS</x:v>
      </x:c>
      <x:c r="E189" s="9" t="str">
        <x:v>AUTOMATED</x:v>
      </x:c>
      <x:c r="F189" s="9" t="str">
        <x:v>—</x:v>
      </x:c>
      <x:c r="G189" s="9" t="str">
        <x:v>test/features/crm/client_card/client_card_task_expand_test.dart::задача в карточке лида раскрывается по тапу</x:v>
      </x:c>
      <x:c r="H189" s="9" t="str">
        <x:v>Flutter</x:v>
      </x:c>
      <x:c r="I189" s="9" t="str">
        <x:v>test/features/crm/client_card/client_card_task_expand_test.dart</x:v>
      </x:c>
      <x:c r="J189" s="9" t="str">
        <x:v>задача в карточке лида раскрывается по тапу</x:v>
      </x:c>
      <x:c r="K189" s="9" t="str">
        <x:v>PASS</x:v>
      </x:c>
      <x:c r="L189" s="9" t="str">
        <x:v>evidence/flutter-test-machine-final-156.ndjson</x:v>
      </x:c>
    </x:row>
    <x:row r="190">
      <x:c r="A190" s="9" t="str">
        <x:v>TASK-012</x:v>
      </x:c>
      <x:c r="B190" s="9" t="str">
        <x:v>Shared Tasks</x:v>
      </x:c>
      <x:c r="C190" s="9" t="str">
        <x:v>Task hard deny</x:v>
      </x:c>
      <x:c r="D190" s="9" t="str">
        <x:v>PASS</x:v>
      </x:c>
      <x:c r="E190" s="9" t="str">
        <x:v>AUTOMATED</x:v>
      </x:c>
      <x:c r="F190" s="9" t="str">
        <x:v>—</x:v>
      </x:c>
      <x:c r="G190" s="9" t="str">
        <x:v>test/features/messenger/tasks_navigation_test.dart::admin never mounts or requests the Tasks destination</x:v>
      </x:c>
      <x:c r="H190" s="9" t="str">
        <x:v>Flutter</x:v>
      </x:c>
      <x:c r="I190" s="9" t="str">
        <x:v>test/features/messenger/tasks_navigation_test.dart</x:v>
      </x:c>
      <x:c r="J190" s="9" t="str">
        <x:v>admin never mounts or requests the Tasks destination</x:v>
      </x:c>
      <x:c r="K190" s="9" t="str">
        <x:v>PASS</x:v>
      </x:c>
      <x:c r="L190" s="9" t="str">
        <x:v>evidence/flutter-test-machine-final-156.ndjson</x:v>
      </x:c>
    </x:row>
    <x:row r="191">
      <x:c r="A191" s="9" t="str">
        <x:v>ANA-001</x:v>
      </x:c>
      <x:c r="B191" s="9" t="str">
        <x:v>Dashboard &amp; Analytics</x:v>
      </x:c>
      <x:c r="C191" s="9" t="str">
        <x:v>Unified dashboard</x:v>
      </x:c>
      <x:c r="D191" s="9" t="str">
        <x:v>PASS</x:v>
      </x:c>
      <x:c r="E191" s="9" t="str">
        <x:v>AUTOMATED + DEVICE</x:v>
      </x:c>
      <x:c r="F191" s="9" t="str">
        <x:v>RUN-R-009</x:v>
      </x:c>
      <x:c r="G191" s="9" t="str">
        <x:v>test/features/v4/reporting_drilldown_test.dart::dashboard sections share one normalized filter</x:v>
      </x:c>
      <x:c r="H191" s="9" t="str">
        <x:v>Flutter</x:v>
      </x:c>
      <x:c r="I191" s="9" t="str">
        <x:v>test/features/v4/reporting_drilldown_test.dart</x:v>
      </x:c>
      <x:c r="J191" s="9" t="str">
        <x:v>dashboard sections share one normalized filter</x:v>
      </x:c>
      <x:c r="K191" s="9" t="str">
        <x:v>PASS</x:v>
      </x:c>
      <x:c r="L191" s="9" t="str">
        <x:v>evidence/flutter-test-machine-final-156.ndjson</x:v>
      </x:c>
    </x:row>
    <x:row r="192">
      <x:c r="A192" s="9" t="str">
        <x:v>ANA-002</x:v>
      </x:c>
      <x:c r="B192" s="9" t="str">
        <x:v>Dashboard &amp; Analytics</x:v>
      </x:c>
      <x:c r="C192" s="9" t="str">
        <x:v>Period filter</x:v>
      </x:c>
      <x:c r="D192" s="9" t="str">
        <x:v>PASS</x:v>
      </x:c>
      <x:c r="E192" s="9" t="str">
        <x:v>AUTOMATED + DEVICE</x:v>
      </x:c>
      <x:c r="F192" s="9" t="str">
        <x:v>RUN-A-041</x:v>
      </x:c>
      <x:c r="G192" s="9" t="str">
        <x:v>test/features/v4/reporting_drilldown_test.dart::dashboard filter restores from workspace and direct-link state</x:v>
      </x:c>
      <x:c r="H192" s="9" t="str">
        <x:v>Flutter</x:v>
      </x:c>
      <x:c r="I192" s="9" t="str">
        <x:v>test/features/v4/reporting_drilldown_test.dart</x:v>
      </x:c>
      <x:c r="J192" s="9" t="str">
        <x:v>dashboard filter restores from workspace and direct-link state</x:v>
      </x:c>
      <x:c r="K192" s="9" t="str">
        <x:v>PASS</x:v>
      </x:c>
      <x:c r="L192" s="9" t="str">
        <x:v>evidence/flutter-test-machine-final-156.ndjson</x:v>
      </x:c>
    </x:row>
    <x:row r="193">
      <x:c r="A193" s="9" t="str">
        <x:v>ANA-003</x:v>
      </x:c>
      <x:c r="B193" s="9" t="str">
        <x:v>Dashboard &amp; Analytics</x:v>
      </x:c>
      <x:c r="C193" s="9" t="str">
        <x:v>Branch filter</x:v>
      </x:c>
      <x:c r="D193" s="9" t="str">
        <x:v>PASS</x:v>
      </x:c>
      <x:c r="E193" s="9" t="str">
        <x:v>AUTOMATED + DEVICE</x:v>
      </x:c>
      <x:c r="F193" s="9" t="str">
        <x:v>RUN-A-042</x:v>
      </x:c>
      <x:c r="G193" s="9" t="str">
        <x:v>server/src/crm/dashboard.service.spec.ts::returns manager dashboard KPIs with period and branch filters</x:v>
      </x:c>
      <x:c r="H193" s="9" t="str">
        <x:v>Server</x:v>
      </x:c>
      <x:c r="I193" s="9" t="str">
        <x:v>server/src/crm/dashboard.service.spec.ts</x:v>
      </x:c>
      <x:c r="J193" s="9" t="str">
        <x:v>DashboardService returns manager dashboard KPIs with period and branch filters</x:v>
      </x:c>
      <x:c r="K193" s="9" t="str">
        <x:v>PASS</x:v>
      </x:c>
      <x:c r="L193" s="9" t="str">
        <x:v>evidence/server-test-json-final-156.json</x:v>
      </x:c>
    </x:row>
    <x:row r="194">
      <x:c r="A194" s="9" t="str">
        <x:v>ANA-004</x:v>
      </x:c>
      <x:c r="B194" s="9" t="str">
        <x:v>Dashboard &amp; Analytics</x:v>
      </x:c>
      <x:c r="C194" s="9" t="str">
        <x:v>Independent section states</x:v>
      </x:c>
      <x:c r="D194" s="9" t="str">
        <x:v>PASS</x:v>
      </x:c>
      <x:c r="E194" s="9" t="str">
        <x:v>AUTOMATED</x:v>
      </x:c>
      <x:c r="F194" s="9" t="str">
        <x:v>—</x:v>
      </x:c>
      <x:c r="G194" s="9" t="str">
        <x:v>test/features/v4/reporting_drilldown_test.dart::one failed section keeps the rest of dashboard usable</x:v>
      </x:c>
      <x:c r="H194" s="9" t="str">
        <x:v>Flutter</x:v>
      </x:c>
      <x:c r="I194" s="9" t="str">
        <x:v>test/features/v4/reporting_drilldown_test.dart</x:v>
      </x:c>
      <x:c r="J194" s="9" t="str">
        <x:v>one failed section keeps the rest of dashboard usable</x:v>
      </x:c>
      <x:c r="K194" s="9" t="str">
        <x:v>PASS</x:v>
      </x:c>
      <x:c r="L194" s="9" t="str">
        <x:v>evidence/flutter-test-machine-final-156.ndjson</x:v>
      </x:c>
    </x:row>
    <x:row r="195">
      <x:c r="A195" s="9" t="str">
        <x:v>ANA-005</x:v>
      </x:c>
      <x:c r="B195" s="9" t="str">
        <x:v>Dashboard &amp; Analytics</x:v>
      </x:c>
      <x:c r="C195" s="9" t="str">
        <x:v>Client status summary</x:v>
      </x:c>
      <x:c r="D195" s="9" t="str">
        <x:v>PASS</x:v>
      </x:c>
      <x:c r="E195" s="9" t="str">
        <x:v>AUTOMATED</x:v>
      </x:c>
      <x:c r="F195" s="9" t="str">
        <x:v>—</x:v>
      </x:c>
      <x:c r="G195" s="9" t="str">
        <x:v>server/src/analytics/client-status-postgres.integration.spec.ts::uses one scoped filter for summary and drilldown totals</x:v>
      </x:c>
      <x:c r="H195" s="9" t="str">
        <x:v>Server</x:v>
      </x:c>
      <x:c r="I195" s="9" t="str">
        <x:v>server/src/analytics/client-status-postgres.integration.spec.ts</x:v>
      </x:c>
      <x:c r="J195" s="9" t="str">
        <x:v>ClientStatusReadService (PostgreSQL) uses one scoped filter for summary and drilldown totals</x:v>
      </x:c>
      <x:c r="K195" s="9" t="str">
        <x:v>PASS</x:v>
      </x:c>
      <x:c r="L195" s="9" t="str">
        <x:v>evidence/server-test-json-final-156.json</x:v>
      </x:c>
    </x:row>
    <x:row r="196">
      <x:c r="A196" s="9" t="str">
        <x:v>ANA-006</x:v>
      </x:c>
      <x:c r="B196" s="9" t="str">
        <x:v>Dashboard &amp; Analytics</x:v>
      </x:c>
      <x:c r="C196" s="9" t="str">
        <x:v>Client status drilldown</x:v>
      </x:c>
      <x:c r="D196" s="9" t="str">
        <x:v>PASS</x:v>
      </x:c>
      <x:c r="E196" s="9" t="str">
        <x:v>AUTOMATED</x:v>
      </x:c>
      <x:c r="F196" s="9" t="str">
        <x:v>—</x:v>
      </x:c>
      <x:c r="G196" s="9" t="str">
        <x:v>server/src/analytics/client-status-postgres.integration.spec.ts::uses one scoped filter for summary and drilldown totals</x:v>
      </x:c>
      <x:c r="H196" s="9" t="str">
        <x:v>Server</x:v>
      </x:c>
      <x:c r="I196" s="9" t="str">
        <x:v>server/src/analytics/client-status-postgres.integration.spec.ts</x:v>
      </x:c>
      <x:c r="J196" s="9" t="str">
        <x:v>ClientStatusReadService (PostgreSQL) uses one scoped filter for summary and drilldown totals</x:v>
      </x:c>
      <x:c r="K196" s="9" t="str">
        <x:v>PASS</x:v>
      </x:c>
      <x:c r="L196" s="9" t="str">
        <x:v>evidence/server-test-json-final-156.json</x:v>
      </x:c>
    </x:row>
    <x:row r="197">
      <x:c r="A197" s="9" t="str">
        <x:v>ANA-007</x:v>
      </x:c>
      <x:c r="B197" s="9" t="str">
        <x:v>Dashboard &amp; Analytics</x:v>
      </x:c>
      <x:c r="C197" s="9" t="str">
        <x:v>Lesson success</x:v>
      </x:c>
      <x:c r="D197" s="9" t="str">
        <x:v>PASS</x:v>
      </x:c>
      <x:c r="E197" s="9" t="str">
        <x:v>AUTOMATED</x:v>
      </x:c>
      <x:c r="F197" s="9" t="str">
        <x:v>—</x:v>
      </x:c>
      <x:c r="G197" s="9" t="str">
        <x:v>server/src/analytics/v4-reporting-scope-postgres.integration.spec.ts::derives lesson success only from terminal lifecycle with branch scope</x:v>
      </x:c>
      <x:c r="H197" s="9" t="str">
        <x:v>Server</x:v>
      </x:c>
      <x:c r="I197" s="9" t="str">
        <x:v>server/src/analytics/v4-reporting-scope-postgres.integration.spec.ts</x:v>
      </x:c>
      <x:c r="J197" s="9" t="str">
        <x:v>ReportingReadService hard scopes (PostgreSQL) derives lesson success only from terminal lifecycle with branch scope</x:v>
      </x:c>
      <x:c r="K197" s="9" t="str">
        <x:v>PASS</x:v>
      </x:c>
      <x:c r="L197" s="9" t="str">
        <x:v>evidence/server-test-json-final-156.json</x:v>
      </x:c>
    </x:row>
    <x:row r="198">
      <x:c r="A198" s="9" t="str">
        <x:v>ANA-008</x:v>
      </x:c>
      <x:c r="B198" s="9" t="str">
        <x:v>Dashboard &amp; Analytics</x:v>
      </x:c>
      <x:c r="C198" s="9" t="str">
        <x:v>Lesson drilldown</x:v>
      </x:c>
      <x:c r="D198" s="9" t="str">
        <x:v>PASS</x:v>
      </x:c>
      <x:c r="E198" s="9" t="str">
        <x:v>AUTOMATED</x:v>
      </x:c>
      <x:c r="F198" s="9" t="str">
        <x:v>—</x:v>
      </x:c>
      <x:c r="G198" s="9" t="str">
        <x:v>test/features/v4/reporting_drilldown_test.dart::lesson KPI opens source lessons with the same predicate</x:v>
      </x:c>
      <x:c r="H198" s="9" t="str">
        <x:v>Flutter</x:v>
      </x:c>
      <x:c r="I198" s="9" t="str">
        <x:v>test/features/v4/reporting_drilldown_test.dart</x:v>
      </x:c>
      <x:c r="J198" s="9" t="str">
        <x:v>lesson KPI opens source lessons with the same predicate</x:v>
      </x:c>
      <x:c r="K198" s="9" t="str">
        <x:v>PASS</x:v>
      </x:c>
      <x:c r="L198" s="9" t="str">
        <x:v>evidence/flutter-test-machine-final-156.ndjson</x:v>
      </x:c>
    </x:row>
    <x:row r="199">
      <x:c r="A199" s="9" t="str">
        <x:v>ANA-009</x:v>
      </x:c>
      <x:c r="B199" s="9" t="str">
        <x:v>Dashboard &amp; Analytics</x:v>
      </x:c>
      <x:c r="C199" s="9" t="str">
        <x:v>School finance section</x:v>
      </x:c>
      <x:c r="D199" s="9" t="str">
        <x:v>PASS</x:v>
      </x:c>
      <x:c r="E199" s="9" t="str">
        <x:v>AUTOMATED + DEVICE</x:v>
      </x:c>
      <x:c r="F199" s="9" t="str">
        <x:v>RUN-A-043</x:v>
      </x:c>
      <x:c r="G199" s="9" t="str">
        <x:v>server/src/analytics/v4-reporting-scope-postgres.integration.spec.ts::allows school finance only to Director/root and counts ActualPayment only</x:v>
      </x:c>
      <x:c r="H199" s="9" t="str">
        <x:v>Server</x:v>
      </x:c>
      <x:c r="I199" s="9" t="str">
        <x:v>server/src/analytics/v4-reporting-scope-postgres.integration.spec.ts</x:v>
      </x:c>
      <x:c r="J199" s="9" t="str">
        <x:v>ReportingReadService hard scopes (PostgreSQL) allows school finance only to Director/root and counts ActualPayment only</x:v>
      </x:c>
      <x:c r="K199" s="9" t="str">
        <x:v>PASS</x:v>
      </x:c>
      <x:c r="L199" s="9" t="str">
        <x:v>evidence/server-test-json-final-156.json</x:v>
      </x:c>
    </x:row>
    <x:row r="200">
      <x:c r="A200" s="9" t="str">
        <x:v>ANA-010</x:v>
      </x:c>
      <x:c r="B200" s="9" t="str">
        <x:v>Dashboard &amp; Analytics</x:v>
      </x:c>
      <x:c r="C200" s="9" t="str">
        <x:v>Finance non-request</x:v>
      </x:c>
      <x:c r="D200" s="9" t="str">
        <x:v>PASS</x:v>
      </x:c>
      <x:c r="E200" s="9" t="str">
        <x:v>AUTOMATED + DEVICE</x:v>
      </x:c>
      <x:c r="F200" s="9" t="str">
        <x:v>RUN-R-010</x:v>
      </x:c>
      <x:c r="G200" s="9" t="str">
        <x:v>test/features/v4/reporting_drilldown_test.dart::capability snapshot removes finance before providers load</x:v>
      </x:c>
      <x:c r="H200" s="9" t="str">
        <x:v>Flutter</x:v>
      </x:c>
      <x:c r="I200" s="9" t="str">
        <x:v>test/features/v4/reporting_drilldown_test.dart</x:v>
      </x:c>
      <x:c r="J200" s="9" t="str">
        <x:v>capability snapshot removes finance before providers load</x:v>
      </x:c>
      <x:c r="K200" s="9" t="str">
        <x:v>PASS</x:v>
      </x:c>
      <x:c r="L200" s="9" t="str">
        <x:v>evidence/flutter-test-machine-final-156.ndjson</x:v>
      </x:c>
    </x:row>
    <x:row r="201">
      <x:c r="A201" s="9" t="str">
        <x:v>ANA-011</x:v>
      </x:c>
      <x:c r="B201" s="9" t="str">
        <x:v>Dashboard &amp; Analytics</x:v>
      </x:c>
      <x:c r="C201" s="9" t="str">
        <x:v>Current task queue</x:v>
      </x:c>
      <x:c r="D201" s="9" t="str">
        <x:v>PASS</x:v>
      </x:c>
      <x:c r="E201" s="9" t="str">
        <x:v>AUTOMATED</x:v>
      </x:c>
      <x:c r="F201" s="9" t="str">
        <x:v>—</x:v>
      </x:c>
      <x:c r="G201" s="9" t="str">
        <x:v>server/src/crm/tasks/shared-task-postgres.integration.spec.ts::uses the dashboard predicate for the open-task detail</x:v>
      </x:c>
      <x:c r="H201" s="9" t="str">
        <x:v>Server</x:v>
      </x:c>
      <x:c r="I201" s="9" t="str">
        <x:v>server/src/crm/tasks/shared-task-postgres.integration.spec.ts</x:v>
      </x:c>
      <x:c r="J201" s="9" t="str">
        <x:v>SharedTask API domain (PostgreSQL) uses the dashboard predicate for the open-task detail</x:v>
      </x:c>
      <x:c r="K201" s="9" t="str">
        <x:v>PASS</x:v>
      </x:c>
      <x:c r="L201" s="9" t="str">
        <x:v>evidence/server-test-json-final-156.json</x:v>
      </x:c>
    </x:row>
    <x:row r="202">
      <x:c r="A202" s="9" t="str">
        <x:v>ANA-012</x:v>
      </x:c>
      <x:c r="B202" s="9" t="str">
        <x:v>Dashboard &amp; Analytics</x:v>
      </x:c>
      <x:c r="C202" s="9" t="str">
        <x:v>Sources and funnel</x:v>
      </x:c>
      <x:c r="D202" s="9" t="str">
        <x:v>PASS</x:v>
      </x:c>
      <x:c r="E202" s="9" t="str">
        <x:v>AUTOMATED</x:v>
      </x:c>
      <x:c r="F202" s="9" t="str">
        <x:v>—</x:v>
      </x:c>
      <x:c r="G202" s="9" t="str">
        <x:v>server/src/analytics/analytics.service.spec.ts::funnel returns stage counts ordered by sort_order</x:v>
      </x:c>
      <x:c r="H202" s="9" t="str">
        <x:v>Server</x:v>
      </x:c>
      <x:c r="I202" s="9" t="str">
        <x:v>server/src/analytics/analytics.service.spec.ts</x:v>
      </x:c>
      <x:c r="J202" s="9" t="str">
        <x:v>AnalyticsService funnel returns stage counts ordered by sort_order, gated to manager/admin</x:v>
      </x:c>
      <x:c r="K202" s="9" t="str">
        <x:v>PASS</x:v>
      </x:c>
      <x:c r="L202" s="9" t="str">
        <x:v>evidence/server-test-json-final-156.json</x:v>
      </x:c>
    </x:row>
    <x:row r="203">
      <x:c r="A203" s="9" t="str">
        <x:v>ANA-013</x:v>
      </x:c>
      <x:c r="B203" s="9" t="str">
        <x:v>Dashboard &amp; Analytics</x:v>
      </x:c>
      <x:c r="C203" s="9" t="str">
        <x:v>Loss/debt/forecast/churn</x:v>
      </x:c>
      <x:c r="D203" s="9" t="str">
        <x:v>PASS</x:v>
      </x:c>
      <x:c r="E203" s="9" t="str">
        <x:v>AUTOMATED</x:v>
      </x:c>
      <x:c r="F203" s="9" t="str">
        <x:v>—</x:v>
      </x:c>
      <x:c r="G203" s="9" t="str">
        <x:v>server/src/analytics/analytics.service.spec.ts::debts buckets overdue payments in fixed order</x:v>
      </x:c>
      <x:c r="H203" s="9" t="str">
        <x:v>Server</x:v>
      </x:c>
      <x:c r="I203" s="9" t="str">
        <x:v>server/src/analytics/analytics.service.spec.ts</x:v>
      </x:c>
      <x:c r="J203" s="9" t="str">
        <x:v>AnalyticsService debts buckets overdue payments in fixed order with zero-fill, gated to manager/admin</x:v>
      </x:c>
      <x:c r="K203" s="9" t="str">
        <x:v>PASS</x:v>
      </x:c>
      <x:c r="L203" s="9" t="str">
        <x:v>evidence/server-test-json-final-156.json</x:v>
      </x:c>
    </x:row>
    <x:row r="204">
      <x:c r="A204" s="9" t="str">
        <x:v>ANA-013</x:v>
      </x:c>
      <x:c r="B204" s="9" t="str">
        <x:v>Dashboard &amp; Analytics</x:v>
      </x:c>
      <x:c r="C204" s="9" t="str">
        <x:v>Loss/debt/forecast/churn</x:v>
      </x:c>
      <x:c r="D204" s="9" t="str">
        <x:v>PASS</x:v>
      </x:c>
      <x:c r="E204" s="9" t="str">
        <x:v>AUTOMATED</x:v>
      </x:c>
      <x:c r="F204" s="9" t="str">
        <x:v>—</x:v>
      </x:c>
      <x:c r="G204" s="9" t="str">
        <x:v>server/src/analytics/analytics.service.spec.ts::churnRisk lists active students with no recent completed lesson</x:v>
      </x:c>
      <x:c r="H204" s="9" t="str">
        <x:v>Server</x:v>
      </x:c>
      <x:c r="I204" s="9" t="str">
        <x:v>server/src/analytics/analytics.service.spec.ts</x:v>
      </x:c>
      <x:c r="J204" s="9" t="str">
        <x:v>AnalyticsService churnRisk lists active students with no recent completed lesson, gated</x:v>
      </x:c>
      <x:c r="K204" s="9" t="str">
        <x:v>PASS</x:v>
      </x:c>
      <x:c r="L204" s="9" t="str">
        <x:v>evidence/server-test-json-final-156.json</x:v>
      </x:c>
    </x:row>
    <x:row r="205">
      <x:c r="A205" s="9" t="str">
        <x:v>ANA-013</x:v>
      </x:c>
      <x:c r="B205" s="9" t="str">
        <x:v>Dashboard &amp; Analytics</x:v>
      </x:c>
      <x:c r="C205" s="9" t="str">
        <x:v>Loss/debt/forecast/churn</x:v>
      </x:c>
      <x:c r="D205" s="9" t="str">
        <x:v>PASS</x:v>
      </x:c>
      <x:c r="E205" s="9" t="str">
        <x:v>AUTOMATED</x:v>
      </x:c>
      <x:c r="F205" s="9" t="str">
        <x:v>—</x:v>
      </x:c>
      <x:c r="G205" s="9" t="str">
        <x:v>server/src/analytics/analytics.service.spec.ts::lossReasons groups terminal-transition reasons</x:v>
      </x:c>
      <x:c r="H205" s="9" t="str">
        <x:v>Server</x:v>
      </x:c>
      <x:c r="I205" s="9" t="str">
        <x:v>server/src/analytics/analytics.service.spec.ts</x:v>
      </x:c>
      <x:c r="J205" s="9" t="str">
        <x:v>AnalyticsService lossReasons groups terminal-transition reasons, gated to manager/admin</x:v>
      </x:c>
      <x:c r="K205" s="9" t="str">
        <x:v>PASS</x:v>
      </x:c>
      <x:c r="L205" s="9" t="str">
        <x:v>evidence/server-test-json-final-156.json</x:v>
      </x:c>
    </x:row>
    <x:row r="206">
      <x:c r="A206" s="9" t="str">
        <x:v>ANA-013</x:v>
      </x:c>
      <x:c r="B206" s="9" t="str">
        <x:v>Dashboard &amp; Analytics</x:v>
      </x:c>
      <x:c r="C206" s="9" t="str">
        <x:v>Loss/debt/forecast/churn</x:v>
      </x:c>
      <x:c r="D206" s="9" t="str">
        <x:v>PASS</x:v>
      </x:c>
      <x:c r="E206" s="9" t="str">
        <x:v>AUTOMATED</x:v>
      </x:c>
      <x:c r="F206" s="9" t="str">
        <x:v>—</x:v>
      </x:c>
      <x:c r="G206" s="9" t="str">
        <x:v>test/core/services/magic_crm_service_test.dart::getAnalyticsForecast requests /analytics/forecast</x:v>
      </x:c>
      <x:c r="H206" s="9" t="str">
        <x:v>Flutter</x:v>
      </x:c>
      <x:c r="I206" s="9" t="str">
        <x:v>test/core/services/magic_crm_service_test.dart</x:v>
      </x:c>
      <x:c r="J206" s="9" t="str">
        <x:v>MagicCrmService getAnalyticsForecast requests /analytics/forecast</x:v>
      </x:c>
      <x:c r="K206" s="9" t="str">
        <x:v>PASS</x:v>
      </x:c>
      <x:c r="L206" s="9" t="str">
        <x:v>evidence/flutter-test-machine-final-156.ndjson</x:v>
      </x:c>
    </x:row>
    <x:row r="207">
      <x:c r="A207" s="9" t="str">
        <x:v>ANA-014</x:v>
      </x:c>
      <x:c r="B207" s="9" t="str">
        <x:v>Dashboard &amp; Analytics</x:v>
      </x:c>
      <x:c r="C207" s="9" t="str">
        <x:v>Chat SLA</x:v>
      </x:c>
      <x:c r="D207" s="9" t="str">
        <x:v>PASS</x:v>
      </x:c>
      <x:c r="E207" s="9" t="str">
        <x:v>AUTOMATED</x:v>
      </x:c>
      <x:c r="F207" s="9" t="str">
        <x:v>—</x:v>
      </x:c>
      <x:c r="G207" s="9" t="str">
        <x:v>test/core/services/magic_crm_service_test.dart::getAnalyticsChatSla requests /analytics/chats/sla</x:v>
      </x:c>
      <x:c r="H207" s="9" t="str">
        <x:v>Flutter</x:v>
      </x:c>
      <x:c r="I207" s="9" t="str">
        <x:v>test/core/services/magic_crm_service_test.dart</x:v>
      </x:c>
      <x:c r="J207" s="9" t="str">
        <x:v>MagicCrmService getAnalyticsChatSla requests /analytics/chats/sla</x:v>
      </x:c>
      <x:c r="K207" s="9" t="str">
        <x:v>PASS</x:v>
      </x:c>
      <x:c r="L207" s="9" t="str">
        <x:v>evidence/flutter-test-machine-final-156.ndjson</x:v>
      </x:c>
    </x:row>
    <x:row r="208">
      <x:c r="A208" s="9" t="str">
        <x:v>ANA-015</x:v>
      </x:c>
      <x:c r="B208" s="9" t="str">
        <x:v>Dashboard &amp; Analytics</x:v>
      </x:c>
      <x:c r="C208" s="9" t="str">
        <x:v>Data quality</x:v>
      </x:c>
      <x:c r="D208" s="9" t="str">
        <x:v>PASS</x:v>
      </x:c>
      <x:c r="E208" s="9" t="str">
        <x:v>AUTOMATED</x:v>
      </x:c>
      <x:c r="F208" s="9" t="str">
        <x:v>—</x:v>
      </x:c>
      <x:c r="G208" s="9" t="str">
        <x:v>server/src/analytics/analytics.service.spec.ts::dataQuality counts leads/students missing phone/branch/discipline</x:v>
      </x:c>
      <x:c r="H208" s="9" t="str">
        <x:v>Server</x:v>
      </x:c>
      <x:c r="I208" s="9" t="str">
        <x:v>server/src/analytics/analytics.service.spec.ts</x:v>
      </x:c>
      <x:c r="J208" s="9" t="str">
        <x:v>AnalyticsService dataQuality counts leads/students missing phone/branch/discipline, gated</x:v>
      </x:c>
      <x:c r="K208" s="9" t="str">
        <x:v>PASS</x:v>
      </x:c>
      <x:c r="L208" s="9" t="str">
        <x:v>evidence/server-test-json-final-156.json</x:v>
      </x:c>
    </x:row>
    <x:row r="209">
      <x:c r="A209" s="9" t="str">
        <x:v>ANA-016</x:v>
      </x:c>
      <x:c r="B209" s="9" t="str">
        <x:v>Dashboard &amp; Analytics</x:v>
      </x:c>
      <x:c r="C209" s="9" t="str">
        <x:v>Request export</x:v>
      </x:c>
      <x:c r="D209" s="9" t="str">
        <x:v>PASS</x:v>
      </x:c>
      <x:c r="E209" s="9" t="str">
        <x:v>AUTOMATED</x:v>
      </x:c>
      <x:c r="F209" s="9" t="str">
        <x:v>—</x:v>
      </x:c>
      <x:c r="G209" s="9" t="str">
        <x:v>server/src/analytics/ooxml-export.integration.spec.ts::enforces sync/async/maximum row contracts</x:v>
      </x:c>
      <x:c r="H209" s="9" t="str">
        <x:v>Server</x:v>
      </x:c>
      <x:c r="I209" s="9" t="str">
        <x:v>server/src/analytics/ooxml-export.integration.spec.ts</x:v>
      </x:c>
      <x:c r="J209" s="9" t="str">
        <x:v>v4 OOXML export enforces sync/async/maximum row contracts</x:v>
      </x:c>
      <x:c r="K209" s="9" t="str">
        <x:v>PASS</x:v>
      </x:c>
      <x:c r="L209" s="9" t="str">
        <x:v>evidence/server-test-json-final-156.json</x:v>
      </x:c>
    </x:row>
    <x:row r="210">
      <x:c r="A210" s="9" t="str">
        <x:v>ANA-017</x:v>
      </x:c>
      <x:c r="B210" s="9" t="str">
        <x:v>Dashboard &amp; Analytics</x:v>
      </x:c>
      <x:c r="C210" s="9" t="str">
        <x:v>Download export</x:v>
      </x:c>
      <x:c r="D210" s="9" t="str">
        <x:v>PASS</x:v>
      </x:c>
      <x:c r="E210" s="9" t="str">
        <x:v>AUTOMATED</x:v>
      </x:c>
      <x:c r="F210" s="9" t="str">
        <x:v>—</x:v>
      </x:c>
      <x:c r="G210" s="9" t="str">
        <x:v>test/features/v4/reporting_drilldown_test.dart::director sees finance and completes private async download</x:v>
      </x:c>
      <x:c r="H210" s="9" t="str">
        <x:v>Flutter</x:v>
      </x:c>
      <x:c r="I210" s="9" t="str">
        <x:v>test/features/v4/reporting_drilldown_test.dart</x:v>
      </x:c>
      <x:c r="J210" s="9" t="str">
        <x:v>director sees finance and completes private async download</x:v>
      </x:c>
      <x:c r="K210" s="9" t="str">
        <x:v>PASS</x:v>
      </x:c>
      <x:c r="L210" s="9" t="str">
        <x:v>evidence/flutter-test-machine-final-156.ndjson</x:v>
      </x:c>
    </x:row>
    <x:row r="211">
      <x:c r="A211" s="9" t="str">
        <x:v>CFG-001</x:v>
      </x:c>
      <x:c r="B211" s="9" t="str">
        <x:v>Configuration &amp; Operations</x:v>
      </x:c>
      <x:c r="C211" s="9" t="str">
        <x:v>Settings navigation</x:v>
      </x:c>
      <x:c r="D211" s="9" t="str">
        <x:v>PASS</x:v>
      </x:c>
      <x:c r="E211" s="9" t="str">
        <x:v>AUTOMATED + DEVICE</x:v>
      </x:c>
      <x:c r="F211" s="9" t="str">
        <x:v>RUN-A-044</x:v>
      </x:c>
      <x:c r="G211" s="9" t="str">
        <x:v>test/features/v6/system_settings_workspace_test.dart::manager sees one six-area settings workspace read-only</x:v>
      </x:c>
      <x:c r="H211" s="9" t="str">
        <x:v>Flutter</x:v>
      </x:c>
      <x:c r="I211" s="9" t="str">
        <x:v>test/features/v6/system_settings_workspace_test.dart</x:v>
      </x:c>
      <x:c r="J211" s="9" t="str">
        <x:v>manager sees one six-area settings workspace read-only</x:v>
      </x:c>
      <x:c r="K211" s="9" t="str">
        <x:v>PASS</x:v>
      </x:c>
      <x:c r="L211" s="9" t="str">
        <x:v>evidence/flutter-test-machine-final-156.ndjson</x:v>
      </x:c>
    </x:row>
    <x:row r="212">
      <x:c r="A212" s="9" t="str">
        <x:v>CFG-002</x:v>
      </x:c>
      <x:c r="B212" s="9" t="str">
        <x:v>Configuration &amp; Operations</x:v>
      </x:c>
      <x:c r="C212" s="9" t="str">
        <x:v>Branch list/search</x:v>
      </x:c>
      <x:c r="D212" s="9" t="str">
        <x:v>PASS</x:v>
      </x:c>
      <x:c r="E212" s="9" t="str">
        <x:v>AUTOMATED</x:v>
      </x:c>
      <x:c r="F212" s="9" t="str">
        <x:v>—</x:v>
      </x:c>
      <x:c r="G212" s="9" t="str">
        <x:v>server/src/crm/branches.service.spec.ts::lists branches through operational-data policy</x:v>
      </x:c>
      <x:c r="H212" s="9" t="str">
        <x:v>Server</x:v>
      </x:c>
      <x:c r="I212" s="9" t="str">
        <x:v>server/src/crm/branches.service.spec.ts</x:v>
      </x:c>
      <x:c r="J212" s="9" t="str">
        <x:v>BranchesService lists branches through operational-data policy</x:v>
      </x:c>
      <x:c r="K212" s="9" t="str">
        <x:v>PASS</x:v>
      </x:c>
      <x:c r="L212" s="9" t="str">
        <x:v>evidence/server-test-json-final-156.json</x:v>
      </x:c>
    </x:row>
    <x:row r="213">
      <x:c r="A213" s="9" t="str">
        <x:v>CFG-003</x:v>
      </x:c>
      <x:c r="B213" s="9" t="str">
        <x:v>Configuration &amp; Operations</x:v>
      </x:c>
      <x:c r="C213" s="9" t="str">
        <x:v>Create branch</x:v>
      </x:c>
      <x:c r="D213" s="9" t="str">
        <x:v>PASS</x:v>
      </x:c>
      <x:c r="E213" s="9" t="str">
        <x:v>AUTOMATED</x:v>
      </x:c>
      <x:c r="F213" s="9" t="str">
        <x:v>—</x:v>
      </x:c>
      <x:c r="G213" s="9" t="str">
        <x:v>server/src/crm/branches.service.spec.ts::creates a branch through CRM write policy and audit</x:v>
      </x:c>
      <x:c r="H213" s="9" t="str">
        <x:v>Server</x:v>
      </x:c>
      <x:c r="I213" s="9" t="str">
        <x:v>server/src/crm/branches.service.spec.ts</x:v>
      </x:c>
      <x:c r="J213" s="9" t="str">
        <x:v>BranchesService creates a branch through CRM write policy and audit</x:v>
      </x:c>
      <x:c r="K213" s="9" t="str">
        <x:v>PASS</x:v>
      </x:c>
      <x:c r="L213" s="9" t="str">
        <x:v>evidence/server-test-json-final-156.json</x:v>
      </x:c>
    </x:row>
    <x:row r="214">
      <x:c r="A214" s="9" t="str">
        <x:v>CFG-004</x:v>
      </x:c>
      <x:c r="B214" s="9" t="str">
        <x:v>Configuration &amp; Operations</x:v>
      </x:c>
      <x:c r="C214" s="9" t="str">
        <x:v>Edit branch</x:v>
      </x:c>
      <x:c r="D214" s="9" t="str">
        <x:v>PASS</x:v>
      </x:c>
      <x:c r="E214" s="9" t="str">
        <x:v>AUTOMATED</x:v>
      </x:c>
      <x:c r="F214" s="9" t="str">
        <x:v>—</x:v>
      </x:c>
      <x:c r="G214" s="9" t="str">
        <x:v>server/src/crm/branches.service.spec.ts::updates a branch's utc offset and returns the dto</x:v>
      </x:c>
      <x:c r="H214" s="9" t="str">
        <x:v>Server</x:v>
      </x:c>
      <x:c r="I214" s="9" t="str">
        <x:v>server/src/crm/branches.service.spec.ts</x:v>
      </x:c>
      <x:c r="J214" s="9" t="str">
        <x:v>BranchesService updates a branch's utc offset and returns the dto</x:v>
      </x:c>
      <x:c r="K214" s="9" t="str">
        <x:v>PASS</x:v>
      </x:c>
      <x:c r="L214" s="9" t="str">
        <x:v>evidence/server-test-json-final-156.json</x:v>
      </x:c>
    </x:row>
    <x:row r="215">
      <x:c r="A215" s="9" t="str">
        <x:v>CFG-005</x:v>
      </x:c>
      <x:c r="B215" s="9" t="str">
        <x:v>Configuration &amp; Operations</x:v>
      </x:c>
      <x:c r="C215" s="9" t="str">
        <x:v>Room list/availability</x:v>
      </x:c>
      <x:c r="D215" s="9" t="str">
        <x:v>PASS</x:v>
      </x:c>
      <x:c r="E215" s="9" t="str">
        <x:v>AUTOMATED + DEVICE</x:v>
      </x:c>
      <x:c r="F215" s="9" t="str">
        <x:v>RUN-A-045</x:v>
      </x:c>
      <x:c r="G215" s="9" t="str">
        <x:v>server/src/crm/rooms.service.spec.ts::returns room availability with slot conflicts</x:v>
      </x:c>
      <x:c r="H215" s="9" t="str">
        <x:v>Server</x:v>
      </x:c>
      <x:c r="I215" s="9" t="str">
        <x:v>server/src/crm/rooms.service.spec.ts</x:v>
      </x:c>
      <x:c r="J215" s="9" t="str">
        <x:v>RoomsService returns room availability with slot conflicts</x:v>
      </x:c>
      <x:c r="K215" s="9" t="str">
        <x:v>PASS</x:v>
      </x:c>
      <x:c r="L215" s="9" t="str">
        <x:v>evidence/server-test-json-final-156.json</x:v>
      </x:c>
    </x:row>
    <x:row r="216">
      <x:c r="A216" s="9" t="str">
        <x:v>CFG-006</x:v>
      </x:c>
      <x:c r="B216" s="9" t="str">
        <x:v>Configuration &amp; Operations</x:v>
      </x:c>
      <x:c r="C216" s="9" t="str">
        <x:v>Create room</x:v>
      </x:c>
      <x:c r="D216" s="9" t="str">
        <x:v>PASS</x:v>
      </x:c>
      <x:c r="E216" s="9" t="str">
        <x:v>AUTOMATED</x:v>
      </x:c>
      <x:c r="F216" s="9" t="str">
        <x:v>—</x:v>
      </x:c>
      <x:c r="G216" s="9" t="str">
        <x:v>server/src/crm/rooms.service.spec.ts::creates rooms through CRM write policy and audit</x:v>
      </x:c>
      <x:c r="H216" s="9" t="str">
        <x:v>Server</x:v>
      </x:c>
      <x:c r="I216" s="9" t="str">
        <x:v>server/src/crm/rooms.service.spec.ts</x:v>
      </x:c>
      <x:c r="J216" s="9" t="str">
        <x:v>RoomsService creates rooms through CRM write policy and audit</x:v>
      </x:c>
      <x:c r="K216" s="9" t="str">
        <x:v>PASS</x:v>
      </x:c>
      <x:c r="L216" s="9" t="str">
        <x:v>evidence/server-test-json-final-156.json</x:v>
      </x:c>
    </x:row>
    <x:row r="217">
      <x:c r="A217" s="9" t="str">
        <x:v>CFG-007</x:v>
      </x:c>
      <x:c r="B217" s="9" t="str">
        <x:v>Configuration &amp; Operations</x:v>
      </x:c>
      <x:c r="C217" s="9" t="str">
        <x:v>Edit room</x:v>
      </x:c>
      <x:c r="D217" s="9" t="str">
        <x:v>PASS</x:v>
      </x:c>
      <x:c r="E217" s="9" t="str">
        <x:v>AUTOMATED</x:v>
      </x:c>
      <x:c r="F217" s="9" t="str">
        <x:v>—</x:v>
      </x:c>
      <x:c r="G217" s="9" t="str">
        <x:v>server/src/crm/rooms.service.spec.ts::updates and soft-deletes rooms through CRM write policy</x:v>
      </x:c>
      <x:c r="H217" s="9" t="str">
        <x:v>Server</x:v>
      </x:c>
      <x:c r="I217" s="9" t="str">
        <x:v>server/src/crm/rooms.service.spec.ts</x:v>
      </x:c>
      <x:c r="J217" s="9" t="str">
        <x:v>RoomsService updates and soft-deletes rooms through CRM write policy</x:v>
      </x:c>
      <x:c r="K217" s="9" t="str">
        <x:v>PASS</x:v>
      </x:c>
      <x:c r="L217" s="9" t="str">
        <x:v>evidence/server-test-json-final-156.json</x:v>
      </x:c>
    </x:row>
    <x:row r="218">
      <x:c r="A218" s="9" t="str">
        <x:v>CFG-008</x:v>
      </x:c>
      <x:c r="B218" s="9" t="str">
        <x:v>Configuration &amp; Operations</x:v>
      </x:c>
      <x:c r="C218" s="9" t="str">
        <x:v>Delete room</x:v>
      </x:c>
      <x:c r="D218" s="9" t="str">
        <x:v>PASS</x:v>
      </x:c>
      <x:c r="E218" s="9" t="str">
        <x:v>AUTOMATED</x:v>
      </x:c>
      <x:c r="F218" s="9" t="str">
        <x:v>—</x:v>
      </x:c>
      <x:c r="G218" s="9" t="str">
        <x:v>server/src/crm/rooms.service.spec.ts::updates and soft-deletes rooms through CRM write policy</x:v>
      </x:c>
      <x:c r="H218" s="9" t="str">
        <x:v>Server</x:v>
      </x:c>
      <x:c r="I218" s="9" t="str">
        <x:v>server/src/crm/rooms.service.spec.ts</x:v>
      </x:c>
      <x:c r="J218" s="9" t="str">
        <x:v>RoomsService updates and soft-deletes rooms through CRM write policy</x:v>
      </x:c>
      <x:c r="K218" s="9" t="str">
        <x:v>PASS</x:v>
      </x:c>
      <x:c r="L218" s="9" t="str">
        <x:v>evidence/server-test-json-final-156.json</x:v>
      </x:c>
    </x:row>
    <x:row r="219">
      <x:c r="A219" s="9" t="str">
        <x:v>CFG-009</x:v>
      </x:c>
      <x:c r="B219" s="9" t="str">
        <x:v>Configuration &amp; Operations</x:v>
      </x:c>
      <x:c r="C219" s="9" t="str">
        <x:v>Group list</x:v>
      </x:c>
      <x:c r="D219" s="9" t="str">
        <x:v>PASS</x:v>
      </x:c>
      <x:c r="E219" s="9" t="str">
        <x:v>AUTOMATED + DEVICE</x:v>
      </x:c>
      <x:c r="F219" s="9" t="str">
        <x:v>RUN-R-013</x:v>
      </x:c>
      <x:c r="G219" s="9" t="str">
        <x:v>test/features/v6/system_settings_workspace_test.dart::settings lists localized staff status and group size</x:v>
      </x:c>
      <x:c r="H219" s="9" t="str">
        <x:v>Flutter</x:v>
      </x:c>
      <x:c r="I219" s="9" t="str">
        <x:v>test/features/v6/system_settings_workspace_test.dart</x:v>
      </x:c>
      <x:c r="J219" s="9" t="str">
        <x:v>settings lists localized staff status and group size</x:v>
      </x:c>
      <x:c r="K219" s="9" t="str">
        <x:v>PASS</x:v>
      </x:c>
      <x:c r="L219" s="9" t="str">
        <x:v>evidence/flutter-test-machine-final-156.ndjson</x:v>
      </x:c>
    </x:row>
    <x:row r="220">
      <x:c r="A220" s="9" t="str">
        <x:v>CFG-010</x:v>
      </x:c>
      <x:c r="B220" s="9" t="str">
        <x:v>Configuration &amp; Operations</x:v>
      </x:c>
      <x:c r="C220" s="9" t="str">
        <x:v>Create/edit group</x:v>
      </x:c>
      <x:c r="D220" s="9" t="str">
        <x:v>PASS</x:v>
      </x:c>
      <x:c r="E220" s="9" t="str">
        <x:v>AUTOMATED</x:v>
      </x:c>
      <x:c r="F220" s="9" t="str">
        <x:v>—</x:v>
      </x:c>
      <x:c r="G220" s="9" t="str">
        <x:v>test/core/services/magic_crm_service_test.dart::creates groups and manages group students through v3 API</x:v>
      </x:c>
      <x:c r="H220" s="9" t="str">
        <x:v>Flutter</x:v>
      </x:c>
      <x:c r="I220" s="9" t="str">
        <x:v>test/core/services/magic_crm_service_test.dart</x:v>
      </x:c>
      <x:c r="J220" s="9" t="str">
        <x:v>MagicCrmService creates groups and manages group students through v3 API</x:v>
      </x:c>
      <x:c r="K220" s="9" t="str">
        <x:v>PASS</x:v>
      </x:c>
      <x:c r="L220" s="9" t="str">
        <x:v>evidence/flutter-test-machine-final-156.ndjson</x:v>
      </x:c>
    </x:row>
    <x:row r="221">
      <x:c r="A221" s="9" t="str">
        <x:v>CFG-011</x:v>
      </x:c>
      <x:c r="B221" s="9" t="str">
        <x:v>Configuration &amp; Operations</x:v>
      </x:c>
      <x:c r="C221" s="9" t="str">
        <x:v>Group membership</x:v>
      </x:c>
      <x:c r="D221" s="9" t="str">
        <x:v>PASS</x:v>
      </x:c>
      <x:c r="E221" s="9" t="str">
        <x:v>AUTOMATED</x:v>
      </x:c>
      <x:c r="F221" s="9" t="str">
        <x:v>—</x:v>
      </x:c>
      <x:c r="G221" s="9" t="str">
        <x:v>test/core/services/magic_crm_service_test.dart::creates groups and manages group students through v3 API</x:v>
      </x:c>
      <x:c r="H221" s="9" t="str">
        <x:v>Flutter</x:v>
      </x:c>
      <x:c r="I221" s="9" t="str">
        <x:v>test/core/services/magic_crm_service_test.dart</x:v>
      </x:c>
      <x:c r="J221" s="9" t="str">
        <x:v>MagicCrmService creates groups and manages group students through v3 API</x:v>
      </x:c>
      <x:c r="K221" s="9" t="str">
        <x:v>PASS</x:v>
      </x:c>
      <x:c r="L221" s="9" t="str">
        <x:v>evidence/flutter-test-machine-final-156.ndjson</x:v>
      </x:c>
    </x:row>
    <x:row r="222">
      <x:c r="A222" s="9" t="str">
        <x:v>CFG-012</x:v>
      </x:c>
      <x:c r="B222" s="9" t="str">
        <x:v>Configuration &amp; Operations</x:v>
      </x:c>
      <x:c r="C222" s="9" t="str">
        <x:v>Effective CRM config</x:v>
      </x:c>
      <x:c r="D222" s="9" t="str">
        <x:v>PASS</x:v>
      </x:c>
      <x:c r="E222" s="9" t="str">
        <x:v>AUTOMATED</x:v>
      </x:c>
      <x:c r="F222" s="9" t="str">
        <x:v>—</x:v>
      </x:c>
      <x:c r="G222" s="9" t="str">
        <x:v>server/src/crm/student-funnel-postgres.integration.spec.ts::publishes school defaults and a sparse branch override</x:v>
      </x:c>
      <x:c r="H222" s="9" t="str">
        <x:v>Server</x:v>
      </x:c>
      <x:c r="I222" s="9" t="str">
        <x:v>server/src/crm/student-funnel-postgres.integration.spec.ts</x:v>
      </x:c>
      <x:c r="J222" s="9" t="str">
        <x:v>Student funnel effective configuration (PostgreSQL) publishes school defaults and a sparse branch override</x:v>
      </x:c>
      <x:c r="K222" s="9" t="str">
        <x:v>PASS</x:v>
      </x:c>
      <x:c r="L222" s="9" t="str">
        <x:v>evidence/server-test-json-final-156.json</x:v>
      </x:c>
    </x:row>
    <x:row r="223">
      <x:c r="A223" s="9" t="str">
        <x:v>CFG-013</x:v>
      </x:c>
      <x:c r="B223" s="9" t="str">
        <x:v>Configuration &amp; Operations</x:v>
      </x:c>
      <x:c r="C223" s="9" t="str">
        <x:v>CRM draft</x:v>
      </x:c>
      <x:c r="D223" s="9" t="str">
        <x:v>PASS</x:v>
      </x:c>
      <x:c r="E223" s="9" t="str">
        <x:v>AUTOMATED</x:v>
      </x:c>
      <x:c r="F223" s="9" t="str">
        <x:v>—</x:v>
      </x:c>
      <x:c r="G223" s="9" t="str">
        <x:v>test/features/v6/crm_configuration_workspace_test.dart::director edits a draft and publishes through impact preview</x:v>
      </x:c>
      <x:c r="H223" s="9" t="str">
        <x:v>Flutter</x:v>
      </x:c>
      <x:c r="I223" s="9" t="str">
        <x:v>test/features/v6/crm_configuration_workspace_test.dart</x:v>
      </x:c>
      <x:c r="J223" s="9" t="str">
        <x:v>director edits a draft and publishes through impact preview</x:v>
      </x:c>
      <x:c r="K223" s="9" t="str">
        <x:v>PASS</x:v>
      </x:c>
      <x:c r="L223" s="9" t="str">
        <x:v>evidence/flutter-test-machine-final-156.ndjson</x:v>
      </x:c>
    </x:row>
    <x:row r="224">
      <x:c r="A224" s="9" t="str">
        <x:v>CFG-014</x:v>
      </x:c>
      <x:c r="B224" s="9" t="str">
        <x:v>Configuration &amp; Operations</x:v>
      </x:c>
      <x:c r="C224" s="9" t="str">
        <x:v>Lead fields</x:v>
      </x:c>
      <x:c r="D224" s="9" t="str">
        <x:v>PASS</x:v>
      </x:c>
      <x:c r="E224" s="9" t="str">
        <x:v>AUTOMATED</x:v>
      </x:c>
      <x:c r="F224" s="9" t="str">
        <x:v>—</x:v>
      </x:c>
      <x:c r="G224" s="9" t="str">
        <x:v>server/src/crm/clients/client-config-postgres.integration.spec.ts::keeps system required fields locked</x:v>
      </x:c>
      <x:c r="H224" s="9" t="str">
        <x:v>Server</x:v>
      </x:c>
      <x:c r="I224" s="9" t="str">
        <x:v>server/src/crm/clients/client-config-postgres.integration.spec.ts</x:v>
      </x:c>
      <x:c r="J224" s="9" t="str">
        <x:v>Client configuration and strict validators (PostgreSQL) keeps system required fields locked</x:v>
      </x:c>
      <x:c r="K224" s="9" t="str">
        <x:v>PASS</x:v>
      </x:c>
      <x:c r="L224" s="9" t="str">
        <x:v>evidence/server-test-json-final-156.json</x:v>
      </x:c>
    </x:row>
    <x:row r="225">
      <x:c r="A225" s="9" t="str">
        <x:v>CFG-015</x:v>
      </x:c>
      <x:c r="B225" s="9" t="str">
        <x:v>Configuration &amp; Operations</x:v>
      </x:c>
      <x:c r="C225" s="9" t="str">
        <x:v>Student fields</x:v>
      </x:c>
      <x:c r="D225" s="9" t="str">
        <x:v>PASS</x:v>
      </x:c>
      <x:c r="E225" s="9" t="str">
        <x:v>AUTOMATED</x:v>
      </x:c>
      <x:c r="F225" s="9" t="str">
        <x:v>—</x:v>
      </x:c>
      <x:c r="G225" s="9" t="str">
        <x:v>server/src/crm/clients/client-config-postgres.integration.spec.ts::normalizes valid phones and validates the Student required minimum</x:v>
      </x:c>
      <x:c r="H225" s="9" t="str">
        <x:v>Server</x:v>
      </x:c>
      <x:c r="I225" s="9" t="str">
        <x:v>server/src/crm/clients/client-config-postgres.integration.spec.ts</x:v>
      </x:c>
      <x:c r="J225" s="9" t="str">
        <x:v>Client configuration and strict validators (PostgreSQL) normalizes valid phones and validates the Student required minimum</x:v>
      </x:c>
      <x:c r="K225" s="9" t="str">
        <x:v>PASS</x:v>
      </x:c>
      <x:c r="L225" s="9" t="str">
        <x:v>evidence/server-test-json-final-156.json</x:v>
      </x:c>
    </x:row>
    <x:row r="226">
      <x:c r="A226" s="9" t="str">
        <x:v>CFG-016</x:v>
      </x:c>
      <x:c r="B226" s="9" t="str">
        <x:v>Configuration &amp; Operations</x:v>
      </x:c>
      <x:c r="C226" s="9" t="str">
        <x:v>Reusable option sets</x:v>
      </x:c>
      <x:c r="D226" s="9" t="str">
        <x:v>PASS</x:v>
      </x:c>
      <x:c r="E226" s="9" t="str">
        <x:v>AUTOMATED + DEVICE</x:v>
      </x:c>
      <x:c r="F226" s="9" t="str">
        <x:v>RUN-A-047</x:v>
      </x:c>
      <x:c r="G226" s="9" t="str">
        <x:v>test/features/v6/crm_configuration_workspace_test.dart::inline field options migrate losslessly to one option set</x:v>
      </x:c>
      <x:c r="H226" s="9" t="str">
        <x:v>Flutter</x:v>
      </x:c>
      <x:c r="I226" s="9" t="str">
        <x:v>test/features/v6/crm_configuration_workspace_test.dart</x:v>
      </x:c>
      <x:c r="J226" s="9" t="str">
        <x:v>inline field options migrate losslessly to one option set</x:v>
      </x:c>
      <x:c r="K226" s="9" t="str">
        <x:v>PASS</x:v>
      </x:c>
      <x:c r="L226" s="9" t="str">
        <x:v>evidence/flutter-test-machine-final-156.ndjson</x:v>
      </x:c>
    </x:row>
    <x:row r="227">
      <x:c r="A227" s="9" t="str">
        <x:v>CFG-017</x:v>
      </x:c>
      <x:c r="B227" s="9" t="str">
        <x:v>Configuration &amp; Operations</x:v>
      </x:c>
      <x:c r="C227" s="9" t="str">
        <x:v>Layout/placements</x:v>
      </x:c>
      <x:c r="D227" s="9" t="str">
        <x:v>PASS</x:v>
      </x:c>
      <x:c r="E227" s="9" t="str">
        <x:v>AUTOMATED</x:v>
      </x:c>
      <x:c r="F227" s="9" t="str">
        <x:v>—</x:v>
      </x:c>
      <x:c r="G227" s="9" t="str">
        <x:v>server/src/crm/crm-configuration-postgres.integration.spec.ts::publishes the supported type matrix and syncs existing client forms</x:v>
      </x:c>
      <x:c r="H227" s="9" t="str">
        <x:v>Server</x:v>
      </x:c>
      <x:c r="I227" s="9" t="str">
        <x:v>server/src/crm/crm-configuration-postgres.integration.spec.ts</x:v>
      </x:c>
      <x:c r="J227" s="9" t="str">
        <x:v>Unified CRM configuration (PostgreSQL) publishes the supported type matrix and syncs existing client forms</x:v>
      </x:c>
      <x:c r="K227" s="9" t="str">
        <x:v>PASS</x:v>
      </x:c>
      <x:c r="L227" s="9" t="str">
        <x:v>evidence/server-test-json-final-156.json</x:v>
      </x:c>
    </x:row>
    <x:row r="228">
      <x:c r="A228" s="9" t="str">
        <x:v>CFG-018</x:v>
      </x:c>
      <x:c r="B228" s="9" t="str">
        <x:v>Configuration &amp; Operations</x:v>
      </x:c>
      <x:c r="C228" s="9" t="str">
        <x:v>Lead pipeline</x:v>
      </x:c>
      <x:c r="D228" s="9" t="str">
        <x:v>PASS</x:v>
      </x:c>
      <x:c r="E228" s="9" t="str">
        <x:v>AUTOMATED</x:v>
      </x:c>
      <x:c r="F228" s="9" t="str">
        <x:v>—</x:v>
      </x:c>
      <x:c r="G228" s="9" t="str">
        <x:v>server/src/crm/student-funnel-postgres.integration.spec.ts::configures Lead and Student pipelines through the same version contract</x:v>
      </x:c>
      <x:c r="H228" s="9" t="str">
        <x:v>Server</x:v>
      </x:c>
      <x:c r="I228" s="9" t="str">
        <x:v>server/src/crm/student-funnel-postgres.integration.spec.ts</x:v>
      </x:c>
      <x:c r="J228" s="9" t="str">
        <x:v>Student funnel effective configuration (PostgreSQL) configures Lead and Student pipelines through the same version contract</x:v>
      </x:c>
      <x:c r="K228" s="9" t="str">
        <x:v>PASS</x:v>
      </x:c>
      <x:c r="L228" s="9" t="str">
        <x:v>evidence/server-test-json-final-156.json</x:v>
      </x:c>
    </x:row>
    <x:row r="229">
      <x:c r="A229" s="9" t="str">
        <x:v>CFG-019</x:v>
      </x:c>
      <x:c r="B229" s="9" t="str">
        <x:v>Configuration &amp; Operations</x:v>
      </x:c>
      <x:c r="C229" s="9" t="str">
        <x:v>Student pipeline</x:v>
      </x:c>
      <x:c r="D229" s="9" t="str">
        <x:v>PASS</x:v>
      </x:c>
      <x:c r="E229" s="9" t="str">
        <x:v>AUTOMATED</x:v>
      </x:c>
      <x:c r="F229" s="9" t="str">
        <x:v>—</x:v>
      </x:c>
      <x:c r="G229" s="9" t="str">
        <x:v>server/src/crm/student-funnel-postgres.integration.spec.ts::enforces configured transitions and rolls back by publishing a revision</x:v>
      </x:c>
      <x:c r="H229" s="9" t="str">
        <x:v>Server</x:v>
      </x:c>
      <x:c r="I229" s="9" t="str">
        <x:v>server/src/crm/student-funnel-postgres.integration.spec.ts</x:v>
      </x:c>
      <x:c r="J229" s="9" t="str">
        <x:v>Student funnel effective configuration (PostgreSQL) enforces configured transitions and rolls back by publishing a revision</x:v>
      </x:c>
      <x:c r="K229" s="9" t="str">
        <x:v>PASS</x:v>
      </x:c>
      <x:c r="L229" s="9" t="str">
        <x:v>evidence/server-test-json-final-156.json</x:v>
      </x:c>
    </x:row>
    <x:row r="230">
      <x:c r="A230" s="9" t="str">
        <x:v>CFG-020</x:v>
      </x:c>
      <x:c r="B230" s="9" t="str">
        <x:v>Configuration &amp; Operations</x:v>
      </x:c>
      <x:c r="C230" s="9" t="str">
        <x:v>Business numbers</x:v>
      </x:c>
      <x:c r="D230" s="9" t="str">
        <x:v>PASS</x:v>
      </x:c>
      <x:c r="E230" s="9" t="str">
        <x:v>AUTOMATED + DEVICE</x:v>
      </x:c>
      <x:c r="F230" s="9" t="str">
        <x:v>RUN-A-048</x:v>
      </x:c>
      <x:c r="G230" s="9" t="str">
        <x:v>server/src/crm/crm-configuration-postgres.integration.spec.ts::publishes the supported type matrix and syncs existing client forms</x:v>
      </x:c>
      <x:c r="H230" s="9" t="str">
        <x:v>Server</x:v>
      </x:c>
      <x:c r="I230" s="9" t="str">
        <x:v>server/src/crm/crm-configuration-postgres.integration.spec.ts</x:v>
      </x:c>
      <x:c r="J230" s="9" t="str">
        <x:v>Unified CRM configuration (PostgreSQL) publishes the supported type matrix and syncs existing client forms</x:v>
      </x:c>
      <x:c r="K230" s="9" t="str">
        <x:v>PASS</x:v>
      </x:c>
      <x:c r="L230" s="9" t="str">
        <x:v>evidence/server-test-json-final-156.json</x:v>
      </x:c>
    </x:row>
    <x:row r="231">
      <x:c r="A231" s="9" t="str">
        <x:v>CFG-021</x:v>
      </x:c>
      <x:c r="B231" s="9" t="str">
        <x:v>Configuration &amp; Operations</x:v>
      </x:c>
      <x:c r="C231" s="9" t="str">
        <x:v>Impact preview</x:v>
      </x:c>
      <x:c r="D231" s="9" t="str">
        <x:v>PASS</x:v>
      </x:c>
      <x:c r="E231" s="9" t="str">
        <x:v>AUTOMATED</x:v>
      </x:c>
      <x:c r="F231" s="9" t="str">
        <x:v>—</x:v>
      </x:c>
      <x:c r="G231" s="9" t="str">
        <x:v>test/features/v6/crm_configuration_workspace_test.dart::director edits a draft and publishes through impact preview</x:v>
      </x:c>
      <x:c r="H231" s="9" t="str">
        <x:v>Flutter</x:v>
      </x:c>
      <x:c r="I231" s="9" t="str">
        <x:v>test/features/v6/crm_configuration_workspace_test.dart</x:v>
      </x:c>
      <x:c r="J231" s="9" t="str">
        <x:v>director edits a draft and publishes through impact preview</x:v>
      </x:c>
      <x:c r="K231" s="9" t="str">
        <x:v>PASS</x:v>
      </x:c>
      <x:c r="L231" s="9" t="str">
        <x:v>evidence/flutter-test-machine-final-156.ndjson</x:v>
      </x:c>
    </x:row>
    <x:row r="232">
      <x:c r="A232" s="9" t="str">
        <x:v>CFG-022</x:v>
      </x:c>
      <x:c r="B232" s="9" t="str">
        <x:v>Configuration &amp; Operations</x:v>
      </x:c>
      <x:c r="C232" s="9" t="str">
        <x:v>Publish config</x:v>
      </x:c>
      <x:c r="D232" s="9" t="str">
        <x:v>PASS</x:v>
      </x:c>
      <x:c r="E232" s="9" t="str">
        <x:v>AUTOMATED</x:v>
      </x:c>
      <x:c r="F232" s="9" t="str">
        <x:v>—</x:v>
      </x:c>
      <x:c r="G232" s="9" t="str">
        <x:v>server/src/crm/crm-configuration-postgres.integration.spec.ts::rejects the second stale publish</x:v>
      </x:c>
      <x:c r="H232" s="9" t="str">
        <x:v>Server</x:v>
      </x:c>
      <x:c r="I232" s="9" t="str">
        <x:v>server/src/crm/crm-configuration-postgres.integration.spec.ts</x:v>
      </x:c>
      <x:c r="J232" s="9" t="str">
        <x:v>Unified CRM configuration (PostgreSQL) rejects the second stale publish and rolls back as a new immutable revision</x:v>
      </x:c>
      <x:c r="K232" s="9" t="str">
        <x:v>PASS</x:v>
      </x:c>
      <x:c r="L232" s="9" t="str">
        <x:v>evidence/server-test-json-final-156.json</x:v>
      </x:c>
    </x:row>
    <x:row r="233">
      <x:c r="A233" s="9" t="str">
        <x:v>CFG-023</x:v>
      </x:c>
      <x:c r="B233" s="9" t="str">
        <x:v>Configuration &amp; Operations</x:v>
      </x:c>
      <x:c r="C233" s="9" t="str">
        <x:v>Revision history</x:v>
      </x:c>
      <x:c r="D233" s="9" t="str">
        <x:v>PASS</x:v>
      </x:c>
      <x:c r="E233" s="9" t="str">
        <x:v>AUTOMATED</x:v>
      </x:c>
      <x:c r="F233" s="9" t="str">
        <x:v>—</x:v>
      </x:c>
      <x:c r="G233" s="9" t="str">
        <x:v>server/src/crm/crm-configuration-postgres.integration.spec.ts::rolls back as a new immutable revision</x:v>
      </x:c>
      <x:c r="H233" s="9" t="str">
        <x:v>Server</x:v>
      </x:c>
      <x:c r="I233" s="9" t="str">
        <x:v>server/src/crm/crm-configuration-postgres.integration.spec.ts</x:v>
      </x:c>
      <x:c r="J233" s="9" t="str">
        <x:v>Unified CRM configuration (PostgreSQL) rejects the second stale publish and rolls back as a new immutable revision</x:v>
      </x:c>
      <x:c r="K233" s="9" t="str">
        <x:v>PASS</x:v>
      </x:c>
      <x:c r="L233" s="9" t="str">
        <x:v>evidence/server-test-json-final-156.json</x:v>
      </x:c>
    </x:row>
    <x:row r="234">
      <x:c r="A234" s="9" t="str">
        <x:v>CFG-024</x:v>
      </x:c>
      <x:c r="B234" s="9" t="str">
        <x:v>Configuration &amp; Operations</x:v>
      </x:c>
      <x:c r="C234" s="9" t="str">
        <x:v>Rollback config</x:v>
      </x:c>
      <x:c r="D234" s="9" t="str">
        <x:v>PASS</x:v>
      </x:c>
      <x:c r="E234" s="9" t="str">
        <x:v>AUTOMATED</x:v>
      </x:c>
      <x:c r="F234" s="9" t="str">
        <x:v>—</x:v>
      </x:c>
      <x:c r="G234" s="9" t="str">
        <x:v>server/src/crm/crm-configuration-postgres.integration.spec.ts::rolls back as a new immutable revision</x:v>
      </x:c>
      <x:c r="H234" s="9" t="str">
        <x:v>Server</x:v>
      </x:c>
      <x:c r="I234" s="9" t="str">
        <x:v>server/src/crm/crm-configuration-postgres.integration.spec.ts</x:v>
      </x:c>
      <x:c r="J234" s="9" t="str">
        <x:v>Unified CRM configuration (PostgreSQL) rejects the second stale publish and rolls back as a new immutable revision</x:v>
      </x:c>
      <x:c r="K234" s="9" t="str">
        <x:v>PASS</x:v>
      </x:c>
      <x:c r="L234" s="9" t="str">
        <x:v>evidence/server-test-json-final-156.json</x:v>
      </x:c>
    </x:row>
    <x:row r="235">
      <x:c r="A235" s="9" t="str">
        <x:v>CFG-025</x:v>
      </x:c>
      <x:c r="B235" s="9" t="str">
        <x:v>Configuration &amp; Operations</x:v>
      </x:c>
      <x:c r="C235" s="9" t="str">
        <x:v>Employees</x:v>
      </x:c>
      <x:c r="D235" s="9" t="str">
        <x:v>PASS</x:v>
      </x:c>
      <x:c r="E235" s="9" t="str">
        <x:v>AUTOMATED + DEVICE</x:v>
      </x:c>
      <x:c r="F235" s="9" t="str">
        <x:v>RUN-R-012</x:v>
      </x:c>
      <x:c r="G235" s="9" t="str">
        <x:v>test/features/v6/system_settings_workspace_test.dart::settings lists localized staff status and group size</x:v>
      </x:c>
      <x:c r="H235" s="9" t="str">
        <x:v>Flutter</x:v>
      </x:c>
      <x:c r="I235" s="9" t="str">
        <x:v>test/features/v6/system_settings_workspace_test.dart</x:v>
      </x:c>
      <x:c r="J235" s="9" t="str">
        <x:v>settings lists localized staff status and group size</x:v>
      </x:c>
      <x:c r="K235" s="9" t="str">
        <x:v>PASS</x:v>
      </x:c>
      <x:c r="L235" s="9" t="str">
        <x:v>evidence/flutter-test-machine-final-156.ndjson</x:v>
      </x:c>
    </x:row>
    <x:row r="236">
      <x:c r="A236" s="9" t="str">
        <x:v>CFG-026</x:v>
      </x:c>
      <x:c r="B236" s="9" t="str">
        <x:v>Configuration &amp; Operations</x:v>
      </x:c>
      <x:c r="C236" s="9" t="str">
        <x:v>Teachers</x:v>
      </x:c>
      <x:c r="D236" s="9" t="str">
        <x:v>PASS</x:v>
      </x:c>
      <x:c r="E236" s="9" t="str">
        <x:v>AUTOMATED + DEVICE</x:v>
      </x:c>
      <x:c r="F236" s="9" t="str">
        <x:v>RUN-A-051</x:v>
      </x:c>
      <x:c r="G236" s="9" t="str">
        <x:v>test/features/v6/system_settings_workspace_test.dart::director creates teacher from the mounted users workspace</x:v>
      </x:c>
      <x:c r="H236" s="9" t="str">
        <x:v>Flutter</x:v>
      </x:c>
      <x:c r="I236" s="9" t="str">
        <x:v>test/features/v6/system_settings_workspace_test.dart</x:v>
      </x:c>
      <x:c r="J236" s="9" t="str">
        <x:v>director creates teacher from the mounted users workspace</x:v>
      </x:c>
      <x:c r="K236" s="9" t="str">
        <x:v>PASS</x:v>
      </x:c>
      <x:c r="L236" s="9" t="str">
        <x:v>evidence/flutter-test-machine-final-156.ndjson</x:v>
      </x:c>
    </x:row>
    <x:row r="237">
      <x:c r="A237" s="9" t="str">
        <x:v>CFG-027</x:v>
      </x:c>
      <x:c r="B237" s="9" t="str">
        <x:v>Configuration &amp; Operations</x:v>
      </x:c>
      <x:c r="C237" s="9" t="str">
        <x:v>Assign role</x:v>
      </x:c>
      <x:c r="D237" s="9" t="str">
        <x:v>PASS</x:v>
      </x:c>
      <x:c r="E237" s="9" t="str">
        <x:v>AUTOMATED + DEVICE</x:v>
      </x:c>
      <x:c r="F237" s="9" t="str">
        <x:v>RUN-A-052</x:v>
      </x:c>
      <x:c r="G237" s="9" t="str">
        <x:v>server/src/profile/profile.policy.spec.ts::director may assign roles strictly below director</x:v>
      </x:c>
      <x:c r="H237" s="9" t="str">
        <x:v>Server</x:v>
      </x:c>
      <x:c r="I237" s="9" t="str">
        <x:v>server/src/profile/profile.policy.spec.ts</x:v>
      </x:c>
      <x:c r="J237" s="9" t="str">
        <x:v>ProfilePolicy assertCanUpdateRole — иерархия ролей (manager &gt; admin) director may assign roles strictly below director (incl. manager)</x:v>
      </x:c>
      <x:c r="K237" s="9" t="str">
        <x:v>PASS</x:v>
      </x:c>
      <x:c r="L237" s="9" t="str">
        <x:v>evidence/server-test-json-final-156.json</x:v>
      </x:c>
    </x:row>
    <x:row r="238">
      <x:c r="A238" s="9" t="str">
        <x:v>CFG-028</x:v>
      </x:c>
      <x:c r="B238" s="9" t="str">
        <x:v>Configuration &amp; Operations</x:v>
      </x:c>
      <x:c r="C238" s="9" t="str">
        <x:v>Role packages</x:v>
      </x:c>
      <x:c r="D238" s="9" t="str">
        <x:v>PASS</x:v>
      </x:c>
      <x:c r="E238" s="9" t="str">
        <x:v>AUTOMATED</x:v>
      </x:c>
      <x:c r="F238" s="9" t="str">
        <x:v>—</x:v>
      </x:c>
      <x:c r="G238" s="9" t="str">
        <x:v>server/src/access-control/capability-request-authorizer.spec.ts::allows the current database role package and returns the route scope</x:v>
      </x:c>
      <x:c r="H238" s="9" t="str">
        <x:v>Server</x:v>
      </x:c>
      <x:c r="I238" s="9" t="str">
        <x:v>server/src/access-control/capability-request-authorizer.spec.ts</x:v>
      </x:c>
      <x:c r="J238" s="9" t="str">
        <x:v>CapabilityRequestAuthorizer allows the current database role package and returns the route scope</x:v>
      </x:c>
      <x:c r="K238" s="9" t="str">
        <x:v>PASS</x:v>
      </x:c>
      <x:c r="L238" s="9" t="str">
        <x:v>evidence/server-test-json-final-156.json</x:v>
      </x:c>
    </x:row>
    <x:row r="239">
      <x:c r="A239" s="9" t="str">
        <x:v>CFG-029</x:v>
      </x:c>
      <x:c r="B239" s="9" t="str">
        <x:v>Configuration &amp; Operations</x:v>
      </x:c>
      <x:c r="C239" s="9" t="str">
        <x:v>User capability override</x:v>
      </x:c>
      <x:c r="D239" s="9" t="str">
        <x:v>PASS</x:v>
      </x:c>
      <x:c r="E239" s="9" t="str">
        <x:v>AUTOMATED</x:v>
      </x:c>
      <x:c r="F239" s="9" t="str">
        <x:v>—</x:v>
      </x:c>
      <x:c r="G239" s="9" t="str">
        <x:v>server/src/access-control/effective-access-evaluator.spec.ts::enforces override modes and resource scope after package/override</x:v>
      </x:c>
      <x:c r="H239" s="9" t="str">
        <x:v>Server</x:v>
      </x:c>
      <x:c r="I239" s="9" t="str">
        <x:v>server/src/access-control/effective-access-evaluator.spec.ts</x:v>
      </x:c>
      <x:c r="J239" s="9" t="str">
        <x:v>EffectiveAccessEvaluator enforces override modes and resource scope after package/override</x:v>
      </x:c>
      <x:c r="K239" s="9" t="str">
        <x:v>PASS</x:v>
      </x:c>
      <x:c r="L239" s="9" t="str">
        <x:v>evidence/server-test-json-final-156.json</x:v>
      </x:c>
    </x:row>
    <x:row r="240">
      <x:c r="A240" s="9" t="str">
        <x:v>CFG-030</x:v>
      </x:c>
      <x:c r="B240" s="9" t="str">
        <x:v>Configuration &amp; Operations</x:v>
      </x:c>
      <x:c r="C240" s="9" t="str">
        <x:v>Delegated Manager editing</x:v>
      </x:c>
      <x:c r="D240" s="9" t="str">
        <x:v>PASS</x:v>
      </x:c>
      <x:c r="E240" s="9" t="str">
        <x:v>AUTOMATED</x:v>
      </x:c>
      <x:c r="F240" s="9" t="str">
        <x:v>—</x:v>
      </x:c>
      <x:c r="G240" s="9" t="str">
        <x:v>server/src/crm/crm-configuration-postgres.integration.spec.ts::keeps branch overrides sparse and manager scope branch-only</x:v>
      </x:c>
      <x:c r="H240" s="9" t="str">
        <x:v>Server</x:v>
      </x:c>
      <x:c r="I240" s="9" t="str">
        <x:v>server/src/crm/crm-configuration-postgres.integration.spec.ts</x:v>
      </x:c>
      <x:c r="J240" s="9" t="str">
        <x:v>Unified CRM configuration (PostgreSQL) keeps branch overrides sparse and manager scope branch-only</x:v>
      </x:c>
      <x:c r="K240" s="9" t="str">
        <x:v>PASS</x:v>
      </x:c>
      <x:c r="L240" s="9" t="str">
        <x:v>evidence/server-test-json-final-156.json</x:v>
      </x:c>
    </x:row>
    <x:row r="241">
      <x:c r="A241" s="9" t="str">
        <x:v>CFG-031</x:v>
      </x:c>
      <x:c r="B241" s="9" t="str">
        <x:v>Configuration &amp; Operations</x:v>
      </x:c>
      <x:c r="C241" s="9" t="str">
        <x:v>Data quality maintenance</x:v>
      </x:c>
      <x:c r="D241" s="9" t="str">
        <x:v>PASS</x:v>
      </x:c>
      <x:c r="E241" s="9" t="str">
        <x:v>AUTOMATED + DEVICE</x:v>
      </x:c>
      <x:c r="F241" s="9" t="str">
        <x:v>RUN-A-053</x:v>
      </x:c>
      <x:c r="G241" s="9" t="str">
        <x:v>server/src/crm/phone-review.service.spec.ts::lists open phone-review-queue rows</x:v>
      </x:c>
      <x:c r="H241" s="9" t="str">
        <x:v>Server</x:v>
      </x:c>
      <x:c r="I241" s="9" t="str">
        <x:v>server/src/crm/phone-review.service.spec.ts</x:v>
      </x:c>
      <x:c r="J241" s="9" t="str">
        <x:v>PhoneReviewService lists open phone-review-queue rows</x:v>
      </x:c>
      <x:c r="K241" s="9" t="str">
        <x:v>PASS</x:v>
      </x:c>
      <x:c r="L241" s="9" t="str">
        <x:v>evidence/server-test-json-final-156.json</x:v>
      </x:c>
    </x:row>
    <x:row r="242">
      <x:c r="A242" s="9" t="str">
        <x:v>CFG-032</x:v>
      </x:c>
      <x:c r="B242" s="9" t="str">
        <x:v>Configuration &amp; Operations</x:v>
      </x:c>
      <x:c r="C242" s="9" t="str">
        <x:v>Deletion requests</x:v>
      </x:c>
      <x:c r="D242" s="9" t="str">
        <x:v>PASS</x:v>
      </x:c>
      <x:c r="E242" s="9" t="str">
        <x:v>AUTOMATED + DEVICE</x:v>
      </x:c>
      <x:c r="F242" s="9" t="str">
        <x:v>RUN-A-054</x:v>
      </x:c>
      <x:c r="G242" s="9" t="str">
        <x:v>server/src/legal/legal.policy.spec.ts::enforces deletion lifecycle transitions</x:v>
      </x:c>
      <x:c r="H242" s="9" t="str">
        <x:v>Server</x:v>
      </x:c>
      <x:c r="I242" s="9" t="str">
        <x:v>server/src/legal/legal.policy.spec.ts</x:v>
      </x:c>
      <x:c r="J242" s="9" t="str">
        <x:v>LegalPolicy enforces deletion lifecycle transitions</x:v>
      </x:c>
      <x:c r="K242" s="9" t="str">
        <x:v>PASS</x:v>
      </x:c>
      <x:c r="L242" s="9" t="str">
        <x:v>evidence/server-test-json-final-156.json</x:v>
      </x:c>
    </x:row>
    <x:row r="243">
      <x:c r="A243" s="9" t="str">
        <x:v>CFG-033</x:v>
      </x:c>
      <x:c r="B243" s="9" t="str">
        <x:v>Configuration &amp; Operations</x:v>
      </x:c>
      <x:c r="C243" s="9" t="str">
        <x:v>Admin chat avatar</x:v>
      </x:c>
      <x:c r="D243" s="9" t="str">
        <x:v>PASS</x:v>
      </x:c>
      <x:c r="E243" s="9" t="str">
        <x:v>AUTOMATED</x:v>
      </x:c>
      <x:c r="F243" s="9" t="str">
        <x:v>—</x:v>
      </x:c>
      <x:c r="G243" s="9" t="str">
        <x:v>server/src/settings/settings.service.spec.ts::updates admin chat avatar only for admins and records audit</x:v>
      </x:c>
      <x:c r="H243" s="9" t="str">
        <x:v>Server</x:v>
      </x:c>
      <x:c r="I243" s="9" t="str">
        <x:v>server/src/settings/settings.service.spec.ts</x:v>
      </x:c>
      <x:c r="J243" s="9" t="str">
        <x:v>SettingsService updates admin chat avatar only for admins and records audit</x:v>
      </x:c>
      <x:c r="K243" s="9" t="str">
        <x:v>PASS</x:v>
      </x:c>
      <x:c r="L243" s="9" t="str">
        <x:v>evidence/server-test-json-final-156.json</x:v>
      </x:c>
    </x:row>
    <x:row r="244">
      <x:c r="A244" s="9" t="str">
        <x:v>PLT-001</x:v>
      </x:c>
      <x:c r="B244" s="9" t="str">
        <x:v>Platform Quality</x:v>
      </x:c>
      <x:c r="C244" s="9" t="str">
        <x:v>API health warmup</x:v>
      </x:c>
      <x:c r="D244" s="9" t="str">
        <x:v>PASS</x:v>
      </x:c>
      <x:c r="E244" s="9" t="str">
        <x:v>AUTOMATED</x:v>
      </x:c>
      <x:c r="F244" s="9" t="str">
        <x:v>—</x:v>
      </x:c>
      <x:c r="G244" s="9" t="str">
        <x:v>test/startup_warmup_test.dart::API warmup failure never blocks application startup</x:v>
      </x:c>
      <x:c r="H244" s="9" t="str">
        <x:v>Flutter</x:v>
      </x:c>
      <x:c r="I244" s="9" t="str">
        <x:v>test/startup_warmup_test.dart</x:v>
      </x:c>
      <x:c r="J244" s="9" t="str">
        <x:v>API warmup failure never blocks application startup</x:v>
      </x:c>
      <x:c r="K244" s="9" t="str">
        <x:v>PASS</x:v>
      </x:c>
      <x:c r="L244" s="9" t="str">
        <x:v>evidence/flutter-test-machine-final-156.ndjson</x:v>
      </x:c>
    </x:row>
    <x:row r="245">
      <x:c r="A245" s="9" t="str">
        <x:v>PLT-002</x:v>
      </x:c>
      <x:c r="B245" s="9" t="str">
        <x:v>Platform Quality</x:v>
      </x:c>
      <x:c r="C245" s="9" t="str">
        <x:v>Strict server validation</x:v>
      </x:c>
      <x:c r="D245" s="9" t="str">
        <x:v>PASS</x:v>
      </x:c>
      <x:c r="E245" s="9" t="str">
        <x:v>AUTOMATED</x:v>
      </x:c>
      <x:c r="F245" s="9" t="str">
        <x:v>—</x:v>
      </x:c>
      <x:c r="G245" s="9" t="str">
        <x:v>test/core/api/magic_api_client_test.dart::maps backend validation errors to typed exception</x:v>
      </x:c>
      <x:c r="H245" s="9" t="str">
        <x:v>Flutter</x:v>
      </x:c>
      <x:c r="I245" s="9" t="str">
        <x:v>test/core/api/magic_api_client_test.dart</x:v>
      </x:c>
      <x:c r="J245" s="9" t="str">
        <x:v>MagicApiClient maps backend validation errors to typed exception</x:v>
      </x:c>
      <x:c r="K245" s="9" t="str">
        <x:v>PASS</x:v>
      </x:c>
      <x:c r="L245" s="9" t="str">
        <x:v>evidence/flutter-test-machine-final-156.ndjson</x:v>
      </x:c>
    </x:row>
    <x:row r="246">
      <x:c r="A246" s="9" t="str">
        <x:v>PLT-003</x:v>
      </x:c>
      <x:c r="B246" s="9" t="str">
        <x:v>Platform Quality</x:v>
      </x:c>
      <x:c r="C246" s="9" t="str">
        <x:v>Safe logging</x:v>
      </x:c>
      <x:c r="D246" s="9" t="str">
        <x:v>PASS</x:v>
      </x:c>
      <x:c r="E246" s="9" t="str">
        <x:v>AUTOMATED</x:v>
      </x:c>
      <x:c r="F246" s="9" t="str">
        <x:v>—</x:v>
      </x:c>
      <x:c r="G246" s="9" t="str">
        <x:v>server/src/common/logging/redact.util.spec.ts::redacts bearer tokens in strings</x:v>
      </x:c>
      <x:c r="H246" s="9" t="str">
        <x:v>Server</x:v>
      </x:c>
      <x:c r="I246" s="9" t="str">
        <x:v>server/src/common/logging/redact.util.spec.ts</x:v>
      </x:c>
      <x:c r="J246" s="9" t="str">
        <x:v>redactSensitive redacts bearer tokens in strings</x:v>
      </x:c>
      <x:c r="K246" s="9" t="str">
        <x:v>PASS</x:v>
      </x:c>
      <x:c r="L246" s="9" t="str">
        <x:v>evidence/server-test-json-final-156.json</x:v>
      </x:c>
    </x:row>
    <x:row r="247">
      <x:c r="A247" s="9" t="str">
        <x:v>PLT-003</x:v>
      </x:c>
      <x:c r="B247" s="9" t="str">
        <x:v>Platform Quality</x:v>
      </x:c>
      <x:c r="C247" s="9" t="str">
        <x:v>Safe logging</x:v>
      </x:c>
      <x:c r="D247" s="9" t="str">
        <x:v>PASS</x:v>
      </x:c>
      <x:c r="E247" s="9" t="str">
        <x:v>AUTOMATED</x:v>
      </x:c>
      <x:c r="F247" s="9" t="str">
        <x:v>—</x:v>
      </x:c>
      <x:c r="G247" s="9" t="str">
        <x:v>server/src/common/logging/redact.util.spec.ts::masks financial, comment and representative fields</x:v>
      </x:c>
      <x:c r="H247" s="9" t="str">
        <x:v>Server</x:v>
      </x:c>
      <x:c r="I247" s="9" t="str">
        <x:v>server/src/common/logging/redact.util.spec.ts</x:v>
      </x:c>
      <x:c r="J247" s="9" t="str">
        <x:v>redactSensitive masks financial, comment and representative fields</x:v>
      </x:c>
      <x:c r="K247" s="9" t="str">
        <x:v>PASS</x:v>
      </x:c>
      <x:c r="L247" s="9" t="str">
        <x:v>evidence/server-test-json-final-156.json</x:v>
      </x:c>
    </x:row>
    <x:row r="248">
      <x:c r="A248" s="9" t="str">
        <x:v>PLT-004</x:v>
      </x:c>
      <x:c r="B248" s="9" t="str">
        <x:v>Platform Quality</x:v>
      </x:c>
      <x:c r="C248" s="9" t="str">
        <x:v>Single realtime socket</x:v>
      </x:c>
      <x:c r="D248" s="9" t="str">
        <x:v>PASS</x:v>
      </x:c>
      <x:c r="E248" s="9" t="str">
        <x:v>AUTOMATED</x:v>
      </x:c>
      <x:c r="F248" s="9" t="str">
        <x:v>—</x:v>
      </x:c>
      <x:c r="G248" s="9" t="str">
        <x:v>test/core/services/magic_realtime_service_test.dart::shares one socket across consumers and closes it with the last one</x:v>
      </x:c>
      <x:c r="H248" s="9" t="str">
        <x:v>Flutter</x:v>
      </x:c>
      <x:c r="I248" s="9" t="str">
        <x:v>test/core/services/magic_realtime_service_test.dart</x:v>
      </x:c>
      <x:c r="J248" s="9" t="str">
        <x:v>MagicRealtimeService shares one socket across consumers and closes it with the last one</x:v>
      </x:c>
      <x:c r="K248" s="9" t="str">
        <x:v>PASS</x:v>
      </x:c>
      <x:c r="L248" s="9" t="str">
        <x:v>evidence/flutter-test-machine-final-156.ndjson</x:v>
      </x:c>
    </x:row>
    <x:row r="249">
      <x:c r="A249" s="9" t="str">
        <x:v>PLT-005</x:v>
      </x:c>
      <x:c r="B249" s="9" t="str">
        <x:v>Platform Quality</x:v>
      </x:c>
      <x:c r="C249" s="9" t="str">
        <x:v>Realtime account isolation</x:v>
      </x:c>
      <x:c r="D249" s="9" t="str">
        <x:v>PASS</x:v>
      </x:c>
      <x:c r="E249" s="9" t="str">
        <x:v>AUTOMATED</x:v>
      </x:c>
      <x:c r="F249" s="9" t="str">
        <x:v>—</x:v>
      </x:c>
      <x:c r="G249" s="9" t="str">
        <x:v>test/core/services/magic_realtime_service_test.dart::logout A then login B force-disposes A transport and detaches handlers</x:v>
      </x:c>
      <x:c r="H249" s="9" t="str">
        <x:v>Flutter</x:v>
      </x:c>
      <x:c r="I249" s="9" t="str">
        <x:v>test/core/services/magic_realtime_service_test.dart</x:v>
      </x:c>
      <x:c r="J249" s="9" t="str">
        <x:v>MagicRealtimeService logout A then login B force-disposes A transport and detaches handlers</x:v>
      </x:c>
      <x:c r="K249" s="9" t="str">
        <x:v>PASS</x:v>
      </x:c>
      <x:c r="L249" s="9" t="str">
        <x:v>evidence/flutter-test-machine-final-156.ndjson</x:v>
      </x:c>
    </x:row>
    <x:row r="250">
      <x:c r="A250" s="9" t="str">
        <x:v>PLT-006</x:v>
      </x:c>
      <x:c r="B250" s="9" t="str">
        <x:v>Platform Quality</x:v>
      </x:c>
      <x:c r="C250" s="9" t="str">
        <x:v>CRM invalidation</x:v>
      </x:c>
      <x:c r="D250" s="9" t="str">
        <x:v>PASS</x:v>
      </x:c>
      <x:c r="E250" s="9" t="str">
        <x:v>AUTOMATED</x:v>
      </x:c>
      <x:c r="F250" s="9" t="str">
        <x:v>—</x:v>
      </x:c>
      <x:c r="G250" s="9" t="str">
        <x:v>server/src/access-control/actor-matrix-payload-leak.spec.ts::keeps access/CRM realtime payloads free of business and PII values</x:v>
      </x:c>
      <x:c r="H250" s="9" t="str">
        <x:v>Server</x:v>
      </x:c>
      <x:c r="I250" s="9" t="str">
        <x:v>server/src/access-control/actor-matrix-payload-leak.spec.ts</x:v>
      </x:c>
      <x:c r="J250" s="9" t="str">
        <x:v>v4 Teacher payload leak scan keeps access/CRM realtime payloads free of business and PII values</x:v>
      </x:c>
      <x:c r="K250" s="9" t="str">
        <x:v>PASS</x:v>
      </x:c>
      <x:c r="L250" s="9" t="str">
        <x:v>evidence/server-test-json-final-156.json</x:v>
      </x:c>
    </x:row>
    <x:row r="251">
      <x:c r="A251" s="9" t="str">
        <x:v>PLT-007</x:v>
      </x:c>
      <x:c r="B251" s="9" t="str">
        <x:v>Platform Quality</x:v>
      </x:c>
      <x:c r="C251" s="9" t="str">
        <x:v>Access invalidation</x:v>
      </x:c>
      <x:c r="D251" s="9" t="str">
        <x:v>PASS</x:v>
      </x:c>
      <x:c r="E251" s="9" t="str">
        <x:v>AUTOMATED</x:v>
      </x:c>
      <x:c r="F251" s="9" t="str">
        <x:v>—</x:v>
      </x:c>
      <x:c r="G251" s="9" t="str">
        <x:v>server/src/access-control/access-invalidation.integration.spec.ts::revokes both active sessions within five seconds and denies the next request</x:v>
      </x:c>
      <x:c r="H251" s="9" t="str">
        <x:v>Server</x:v>
      </x:c>
      <x:c r="I251" s="9" t="str">
        <x:v>server/src/access-control/access-invalidation.integration.spec.ts</x:v>
      </x:c>
      <x:c r="J251" s="9" t="str">
        <x:v>access/session invalidation (PostgreSQL + realtime) revokes both active sessions within five seconds and denies the next request</x:v>
      </x:c>
      <x:c r="K251" s="9" t="str">
        <x:v>PASS</x:v>
      </x:c>
      <x:c r="L251" s="9" t="str">
        <x:v>evidence/server-test-json-final-156.json</x:v>
      </x:c>
    </x:row>
    <x:row r="252">
      <x:c r="A252" s="9" t="str">
        <x:v>PLT-008</x:v>
      </x:c>
      <x:c r="B252" s="9" t="str">
        <x:v>Platform Quality</x:v>
      </x:c>
      <x:c r="C252" s="9" t="str">
        <x:v>Push token sync</x:v>
      </x:c>
      <x:c r="D252" s="9" t="str">
        <x:v>PASS</x:v>
      </x:c>
      <x:c r="E252" s="9" t="str">
        <x:v>AUTOMATED</x:v>
      </x:c>
      <x:c r="F252" s="9" t="str">
        <x:v>—</x:v>
      </x:c>
      <x:c r="G252" s="9" t="str">
        <x:v>server/src/notifications/notifications.service.spec.ts::registers an encrypted device token and atomically transfers its active owner</x:v>
      </x:c>
      <x:c r="H252" s="9" t="str">
        <x:v>Server</x:v>
      </x:c>
      <x:c r="I252" s="9" t="str">
        <x:v>server/src/notifications/notifications.service.spec.ts</x:v>
      </x:c>
      <x:c r="J252" s="9" t="str">
        <x:v>NotificationsService registers an encrypted device token and atomically transfers its active owner</x:v>
      </x:c>
      <x:c r="K252" s="9" t="str">
        <x:v>PASS</x:v>
      </x:c>
      <x:c r="L252" s="9" t="str">
        <x:v>evidence/server-test-json-final-156.json</x:v>
      </x:c>
    </x:row>
    <x:row r="253">
      <x:c r="A253" s="9" t="str">
        <x:v>PLT-009</x:v>
      </x:c>
      <x:c r="B253" s="9" t="str">
        <x:v>Platform Quality</x:v>
      </x:c>
      <x:c r="C253" s="9" t="str">
        <x:v>Notification inbox</x:v>
      </x:c>
      <x:c r="D253" s="9" t="str">
        <x:v>PASS</x:v>
      </x:c>
      <x:c r="E253" s="9" t="str">
        <x:v>AUTOMATED</x:v>
      </x:c>
      <x:c r="F253" s="9" t="str">
        <x:v>—</x:v>
      </x:c>
      <x:c r="G253" s="9" t="str">
        <x:v>test/core/services/magic_notifications_service_test.dart::lists and marks notifications through v3 API</x:v>
      </x:c>
      <x:c r="H253" s="9" t="str">
        <x:v>Flutter</x:v>
      </x:c>
      <x:c r="I253" s="9" t="str">
        <x:v>test/core/services/magic_notifications_service_test.dart</x:v>
      </x:c>
      <x:c r="J253" s="9" t="str">
        <x:v>MagicNotificationsService lists and marks notifications through v3 API</x:v>
      </x:c>
      <x:c r="K253" s="9" t="str">
        <x:v>PASS</x:v>
      </x:c>
      <x:c r="L253" s="9" t="str">
        <x:v>evidence/flutter-test-machine-final-156.ndjson</x:v>
      </x:c>
    </x:row>
    <x:row r="254">
      <x:c r="A254" s="9" t="str">
        <x:v>PLT-010</x:v>
      </x:c>
      <x:c r="B254" s="9" t="str">
        <x:v>Platform Quality</x:v>
      </x:c>
      <x:c r="C254" s="9" t="str">
        <x:v>Notification preferences</x:v>
      </x:c>
      <x:c r="D254" s="9" t="str">
        <x:v>PASS</x:v>
      </x:c>
      <x:c r="E254" s="9" t="str">
        <x:v>AUTOMATED</x:v>
      </x:c>
      <x:c r="F254" s="9" t="str">
        <x:v>—</x:v>
      </x:c>
      <x:c r="G254" s="9" t="str">
        <x:v>test/features/manager/notification_preferences_dialog_test.dart::renders a row per role and saves a toggle</x:v>
      </x:c>
      <x:c r="H254" s="9" t="str">
        <x:v>Flutter</x:v>
      </x:c>
      <x:c r="I254" s="9" t="str">
        <x:v>test/features/manager/notification_preferences_dialog_test.dart</x:v>
      </x:c>
      <x:c r="J254" s="9" t="str">
        <x:v>renders a row per role and saves a toggle</x:v>
      </x:c>
      <x:c r="K254" s="9" t="str">
        <x:v>PASS</x:v>
      </x:c>
      <x:c r="L254" s="9" t="str">
        <x:v>evidence/flutter-test-machine-final-156.ndjson</x:v>
      </x:c>
    </x:row>
    <x:row r="255">
      <x:c r="A255" s="9" t="str">
        <x:v>PLT-011</x:v>
      </x:c>
      <x:c r="B255" s="9" t="str">
        <x:v>Platform Quality</x:v>
      </x:c>
      <x:c r="C255" s="9" t="str">
        <x:v>File upload</x:v>
      </x:c>
      <x:c r="D255" s="9" t="str">
        <x:v>PASS</x:v>
      </x:c>
      <x:c r="E255" s="9" t="str">
        <x:v>AUTOMATED</x:v>
      </x:c>
      <x:c r="F255" s="9" t="str">
        <x:v>—</x:v>
      </x:c>
      <x:c r="G255" s="9" t="str">
        <x:v>test/core/widgets/send_file_dialog_test.dart::keeps dialog open and surfaces upload failure</x:v>
      </x:c>
      <x:c r="H255" s="9" t="str">
        <x:v>Flutter</x:v>
      </x:c>
      <x:c r="I255" s="9" t="str">
        <x:v>test/core/widgets/send_file_dialog_test.dart</x:v>
      </x:c>
      <x:c r="J255" s="9" t="str">
        <x:v>keeps dialog open and surfaces upload failure</x:v>
      </x:c>
      <x:c r="K255" s="9" t="str">
        <x:v>PASS</x:v>
      </x:c>
      <x:c r="L255" s="9" t="str">
        <x:v>evidence/flutter-test-machine-final-156.ndjson</x:v>
      </x:c>
    </x:row>
    <x:row r="256">
      <x:c r="A256" s="9" t="str">
        <x:v>PLT-012</x:v>
      </x:c>
      <x:c r="B256" s="9" t="str">
        <x:v>Platform Quality</x:v>
      </x:c>
      <x:c r="C256" s="9" t="str">
        <x:v>File download</x:v>
      </x:c>
      <x:c r="D256" s="9" t="str">
        <x:v>PASS</x:v>
      </x:c>
      <x:c r="E256" s="9" t="str">
        <x:v>AUTOMATED</x:v>
      </x:c>
      <x:c r="F256" s="9" t="str">
        <x:v>—</x:v>
      </x:c>
      <x:c r="G256" s="9" t="str">
        <x:v>server/src/files/files.service.spec.ts::rejects invalid or expired download tokens</x:v>
      </x:c>
      <x:c r="H256" s="9" t="str">
        <x:v>Server</x:v>
      </x:c>
      <x:c r="I256" s="9" t="str">
        <x:v>server/src/files/files.service.spec.ts</x:v>
      </x:c>
      <x:c r="J256" s="9" t="str">
        <x:v>FilesService.downloadByToken rejects invalid or expired download tokens</x:v>
      </x:c>
      <x:c r="K256" s="9" t="str">
        <x:v>PASS</x:v>
      </x:c>
      <x:c r="L256" s="9" t="str">
        <x:v>evidence/server-test-json-final-156.json</x:v>
      </x:c>
    </x:row>
    <x:row r="257">
      <x:c r="A257" s="9" t="str">
        <x:v>PLT-013</x:v>
      </x:c>
      <x:c r="B257" s="9" t="str">
        <x:v>Platform Quality</x:v>
      </x:c>
      <x:c r="C257" s="9" t="str">
        <x:v>File delete</x:v>
      </x:c>
      <x:c r="D257" s="9" t="str">
        <x:v>PASS</x:v>
      </x:c>
      <x:c r="E257" s="9" t="str">
        <x:v>AUTOMATED</x:v>
      </x:c>
      <x:c r="F257" s="9" t="str">
        <x:v>—</x:v>
      </x:c>
      <x:c r="G257" s="9" t="str">
        <x:v>server/src/files/files.service.spec.ts::checks delete policy and soft-deletes the file without erasing storage history</x:v>
      </x:c>
      <x:c r="H257" s="9" t="str">
        <x:v>Server</x:v>
      </x:c>
      <x:c r="I257" s="9" t="str">
        <x:v>server/src/files/files.service.spec.ts</x:v>
      </x:c>
      <x:c r="J257" s="9" t="str">
        <x:v>FilesService.delete checks delete policy and soft-deletes the file without erasing storage history</x:v>
      </x:c>
      <x:c r="K257" s="9" t="str">
        <x:v>PASS</x:v>
      </x:c>
      <x:c r="L257" s="9" t="str">
        <x:v>evidence/server-test-json-final-156.json</x:v>
      </x:c>
    </x:row>
    <x:row r="258">
      <x:c r="A258" s="9" t="str">
        <x:v>PLT-014</x:v>
      </x:c>
      <x:c r="B258" s="9" t="str">
        <x:v>Platform Quality</x:v>
      </x:c>
      <x:c r="C258" s="9" t="str">
        <x:v>Windows update</x:v>
      </x:c>
      <x:c r="D258" s="9" t="str">
        <x:v>PASS</x:v>
      </x:c>
      <x:c r="E258" s="9" t="str">
        <x:v>AUTOMATED</x:v>
      </x:c>
      <x:c r="F258" s="9" t="str">
        <x:v>—</x:v>
      </x:c>
      <x:c r="G258" s="9" t="str">
        <x:v>test/core/update/windows_update_service_test.dart::verified PowerShell launch CIM broker verifies launch-command bytes before process create</x:v>
      </x:c>
      <x:c r="H258" s="9" t="str">
        <x:v>Flutter</x:v>
      </x:c>
      <x:c r="I258" s="9" t="str">
        <x:v>test/core/update/windows_update_service_test.dart</x:v>
      </x:c>
      <x:c r="J258" s="9" t="str">
        <x:v>verified PowerShell launch CIM broker verifies launch-command bytes before process create</x:v>
      </x:c>
      <x:c r="K258" s="9" t="str">
        <x:v>PASS</x:v>
      </x:c>
      <x:c r="L258" s="9" t="str">
        <x:v>evidence/flutter-test-machine-final-156.ndjson</x:v>
      </x:c>
    </x:row>
    <x:row r="259">
      <x:c r="A259" s="9" t="str">
        <x:v>PLT-015</x:v>
      </x:c>
      <x:c r="B259" s="9" t="str">
        <x:v>Platform Quality</x:v>
      </x:c>
      <x:c r="C259" s="9" t="str">
        <x:v>Reduced motion</x:v>
      </x:c>
      <x:c r="D259" s="9" t="str">
        <x:v>PASS</x:v>
      </x:c>
      <x:c r="E259" s="9" t="str">
        <x:v>AUTOMATED</x:v>
      </x:c>
      <x:c r="F259" s="9" t="str">
        <x:v>—</x:v>
      </x:c>
      <x:c r="G259" s="9" t="str">
        <x:v>test/features/v6/visual_baseline_test.dart::reduced motion resolves token duration to zero</x:v>
      </x:c>
      <x:c r="H259" s="9" t="str">
        <x:v>Flutter</x:v>
      </x:c>
      <x:c r="I259" s="9" t="str">
        <x:v>test/features/v6/visual_baseline_test.dart</x:v>
      </x:c>
      <x:c r="J259" s="9" t="str">
        <x:v>reduced motion resolves token duration to zero</x:v>
      </x:c>
      <x:c r="K259" s="9" t="str">
        <x:v>PASS</x:v>
      </x:c>
      <x:c r="L259" s="9" t="str">
        <x:v>evidence/flutter-test-machine-final-156.ndjson</x:v>
      </x:c>
    </x:row>
    <x:row r="260">
      <x:c r="A260" s="9" t="str">
        <x:v>PLT-016</x:v>
      </x:c>
      <x:c r="B260" s="9" t="str">
        <x:v>Platform Quality</x:v>
      </x:c>
      <x:c r="C260" s="9" t="str">
        <x:v>Desktop scrolling</x:v>
      </x:c>
      <x:c r="D260" s="9" t="str">
        <x:v>PASS</x:v>
      </x:c>
      <x:c r="E260" s="9" t="str">
        <x:v>AUTOMATED</x:v>
      </x:c>
      <x:c r="F260" s="9" t="str">
        <x:v>—</x:v>
      </x:c>
      <x:c r="G260" s="9" t="str">
        <x:v>test/core/widgets/magic_desktop_scrollbar_test.dart::nested wheel keeps vertical ownership and Shift moves board</x:v>
      </x:c>
      <x:c r="H260" s="9" t="str">
        <x:v>Flutter</x:v>
      </x:c>
      <x:c r="I260" s="9" t="str">
        <x:v>test/core/widgets/magic_desktop_scrollbar_test.dart</x:v>
      </x:c>
      <x:c r="J260" s="9" t="str">
        <x:v>nested wheel keeps vertical ownership and Shift moves board</x:v>
      </x:c>
      <x:c r="K260" s="9" t="str">
        <x:v>PASS</x:v>
      </x:c>
      <x:c r="L260" s="9" t="str">
        <x:v>evidence/flutter-test-machine-final-156.ndjson</x:v>
      </x:c>
    </x:row>
    <x:row r="261">
      <x:c r="A261" s="9" t="str">
        <x:v>PLT-017</x:v>
      </x:c>
      <x:c r="B261" s="9" t="str">
        <x:v>Platform Quality</x:v>
      </x:c>
      <x:c r="C261" s="9" t="str">
        <x:v>Responsive layout</x:v>
      </x:c>
      <x:c r="D261" s="9" t="str">
        <x:v>PASS</x:v>
      </x:c>
      <x:c r="E261" s="9" t="str">
        <x:v>AUTOMATED</x:v>
      </x:c>
      <x:c r="F261" s="9" t="str">
        <x:v>—</x:v>
      </x:c>
      <x:c r="G261" s="9" t="str">
        <x:v>test/features/v6/visual_baseline_test.dart::critical state fits width 360 at 200% text</x:v>
      </x:c>
      <x:c r="H261" s="9" t="str">
        <x:v>Flutter</x:v>
      </x:c>
      <x:c r="I261" s="9" t="str">
        <x:v>test/features/v6/visual_baseline_test.dart</x:v>
      </x:c>
      <x:c r="J261" s="9" t="str">
        <x:v>critical state fits width 360 at 200% text</x:v>
      </x:c>
      <x:c r="K261" s="9" t="str">
        <x:v>PASS</x:v>
      </x:c>
      <x:c r="L261" s="9" t="str">
        <x:v>evidence/flutter-test-machine-final-156.ndjson</x:v>
      </x:c>
    </x:row>
    <x:row r="262">
      <x:c r="A262" s="9" t="str">
        <x:v>PLT-017</x:v>
      </x:c>
      <x:c r="B262" s="9" t="str">
        <x:v>Platform Quality</x:v>
      </x:c>
      <x:c r="C262" s="9" t="str">
        <x:v>Responsive layout</x:v>
      </x:c>
      <x:c r="D262" s="9" t="str">
        <x:v>PASS</x:v>
      </x:c>
      <x:c r="E262" s="9" t="str">
        <x:v>AUTOMATED</x:v>
      </x:c>
      <x:c r="F262" s="9" t="str">
        <x:v>—</x:v>
      </x:c>
      <x:c r="G262" s="9" t="str">
        <x:v>test/features/v6/visual_baseline_test.dart::critical state fits width 600 at 200% text</x:v>
      </x:c>
      <x:c r="H262" s="9" t="str">
        <x:v>Flutter</x:v>
      </x:c>
      <x:c r="I262" s="9" t="str">
        <x:v>test/features/v6/visual_baseline_test.dart</x:v>
      </x:c>
      <x:c r="J262" s="9" t="str">
        <x:v>critical state fits width 600 at 200% text</x:v>
      </x:c>
      <x:c r="K262" s="9" t="str">
        <x:v>PASS</x:v>
      </x:c>
      <x:c r="L262" s="9" t="str">
        <x:v>evidence/flutter-test-machine-final-156.ndjson</x:v>
      </x:c>
    </x:row>
    <x:row r="263">
      <x:c r="A263" s="9" t="str">
        <x:v>PLT-017</x:v>
      </x:c>
      <x:c r="B263" s="9" t="str">
        <x:v>Platform Quality</x:v>
      </x:c>
      <x:c r="C263" s="9" t="str">
        <x:v>Responsive layout</x:v>
      </x:c>
      <x:c r="D263" s="9" t="str">
        <x:v>PASS</x:v>
      </x:c>
      <x:c r="E263" s="9" t="str">
        <x:v>AUTOMATED</x:v>
      </x:c>
      <x:c r="F263" s="9" t="str">
        <x:v>—</x:v>
      </x:c>
      <x:c r="G263" s="9" t="str">
        <x:v>test/features/v6/visual_baseline_test.dart::critical state fits width 839 at 200% text</x:v>
      </x:c>
      <x:c r="H263" s="9" t="str">
        <x:v>Flutter</x:v>
      </x:c>
      <x:c r="I263" s="9" t="str">
        <x:v>test/features/v6/visual_baseline_test.dart</x:v>
      </x:c>
      <x:c r="J263" s="9" t="str">
        <x:v>critical state fits width 839 at 200% text</x:v>
      </x:c>
      <x:c r="K263" s="9" t="str">
        <x:v>PASS</x:v>
      </x:c>
      <x:c r="L263" s="9" t="str">
        <x:v>evidence/flutter-test-machine-final-156.ndjson</x:v>
      </x:c>
    </x:row>
    <x:row r="264">
      <x:c r="A264" s="9" t="str">
        <x:v>PLT-017</x:v>
      </x:c>
      <x:c r="B264" s="9" t="str">
        <x:v>Platform Quality</x:v>
      </x:c>
      <x:c r="C264" s="9" t="str">
        <x:v>Responsive layout</x:v>
      </x:c>
      <x:c r="D264" s="9" t="str">
        <x:v>PASS</x:v>
      </x:c>
      <x:c r="E264" s="9" t="str">
        <x:v>AUTOMATED</x:v>
      </x:c>
      <x:c r="F264" s="9" t="str">
        <x:v>—</x:v>
      </x:c>
      <x:c r="G264" s="9" t="str">
        <x:v>test/features/v6/visual_baseline_test.dart::critical state fits width 840 at 200% text</x:v>
      </x:c>
      <x:c r="H264" s="9" t="str">
        <x:v>Flutter</x:v>
      </x:c>
      <x:c r="I264" s="9" t="str">
        <x:v>test/features/v6/visual_baseline_test.dart</x:v>
      </x:c>
      <x:c r="J264" s="9" t="str">
        <x:v>critical state fits width 840 at 200% text</x:v>
      </x:c>
      <x:c r="K264" s="9" t="str">
        <x:v>PASS</x:v>
      </x:c>
      <x:c r="L264" s="9" t="str">
        <x:v>evidence/flutter-test-machine-final-156.ndjson</x:v>
      </x:c>
    </x:row>
    <x:row r="265">
      <x:c r="A265" s="9" t="str">
        <x:v>PLT-017</x:v>
      </x:c>
      <x:c r="B265" s="9" t="str">
        <x:v>Platform Quality</x:v>
      </x:c>
      <x:c r="C265" s="9" t="str">
        <x:v>Responsive layout</x:v>
      </x:c>
      <x:c r="D265" s="9" t="str">
        <x:v>PASS</x:v>
      </x:c>
      <x:c r="E265" s="9" t="str">
        <x:v>AUTOMATED</x:v>
      </x:c>
      <x:c r="F265" s="9" t="str">
        <x:v>—</x:v>
      </x:c>
      <x:c r="G265" s="9" t="str">
        <x:v>test/features/v6/visual_baseline_test.dart::critical state fits width 1000 at 200% text</x:v>
      </x:c>
      <x:c r="H265" s="9" t="str">
        <x:v>Flutter</x:v>
      </x:c>
      <x:c r="I265" s="9" t="str">
        <x:v>test/features/v6/visual_baseline_test.dart</x:v>
      </x:c>
      <x:c r="J265" s="9" t="str">
        <x:v>critical state fits width 1000 at 200% text</x:v>
      </x:c>
      <x:c r="K265" s="9" t="str">
        <x:v>PASS</x:v>
      </x:c>
      <x:c r="L265" s="9" t="str">
        <x:v>evidence/flutter-test-machine-final-156.ndjson</x:v>
      </x:c>
    </x:row>
    <x:row r="266">
      <x:c r="A266" s="9" t="str">
        <x:v>PLT-017</x:v>
      </x:c>
      <x:c r="B266" s="9" t="str">
        <x:v>Platform Quality</x:v>
      </x:c>
      <x:c r="C266" s="9" t="str">
        <x:v>Responsive layout</x:v>
      </x:c>
      <x:c r="D266" s="9" t="str">
        <x:v>PASS</x:v>
      </x:c>
      <x:c r="E266" s="9" t="str">
        <x:v>AUTOMATED</x:v>
      </x:c>
      <x:c r="F266" s="9" t="str">
        <x:v>—</x:v>
      </x:c>
      <x:c r="G266" s="9" t="str">
        <x:v>test/features/v6/visual_baseline_test.dart::critical state fits width 1200 at 200% text</x:v>
      </x:c>
      <x:c r="H266" s="9" t="str">
        <x:v>Flutter</x:v>
      </x:c>
      <x:c r="I266" s="9" t="str">
        <x:v>test/features/v6/visual_baseline_test.dart</x:v>
      </x:c>
      <x:c r="J266" s="9" t="str">
        <x:v>critical state fits width 1200 at 200% text</x:v>
      </x:c>
      <x:c r="K266" s="9" t="str">
        <x:v>PASS</x:v>
      </x:c>
      <x:c r="L266" s="9" t="str">
        <x:v>evidence/flutter-test-machine-final-156.ndjson</x:v>
      </x:c>
    </x:row>
  </x:sheetData>
  <x:conditionalFormatting sqref="D2:D266">
    <x:cfRule type="expression" dxfId="5" priority="1">
      <x:formula>$D2="PASS"</x:formula>
    </x:cfRule>
  </x:conditionalFormatting>
  <x:conditionalFormatting sqref="K2:K266">
    <x:cfRule type="expression" dxfId="6" priority="2">
      <x:formula>$K2="PASS"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58e4a59d4b46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22" hidden="0" customWidth="1"/>
    <x:col min="6" max="6" width="14" hidden="0" customWidth="1"/>
    <x:col min="7" max="7" width="20" hidden="0" customWidth="1"/>
    <x:col min="8" max="8" width="20" hidden="0" customWidth="1"/>
    <x:col min="9" max="9" width="14" hidden="0" customWidth="1"/>
    <x:col min="10" max="10" width="50" hidden="0" customWidth="1"/>
    <x:col min="11" max="11" width="28" hidden="0" customWidth="1"/>
    <x:col min="12" max="12" width="18" hidden="0" customWidth="1"/>
    <x:col min="13" max="13" width="16" hidden="0" customWidth="1"/>
    <x:col min="14" max="14" width="35" hidden="0" customWidth="1"/>
  </x:cols>
  <x:sheetData>
    <x:row r="1" ht="32" customHeight="1">
      <x:c r="A1" s="5" t="str">
        <x:v>Run ID</x:v>
      </x:c>
      <x:c r="B1" s="5" t="str">
        <x:v>Story ID</x:v>
      </x:c>
      <x:c r="C1" s="5" t="str">
        <x:v>Phase</x:v>
      </x:c>
      <x:c r="D1" s="5" t="str">
        <x:v>Build</x:v>
      </x:c>
      <x:c r="E1" s="5" t="str">
        <x:v>Persona / Account</x:v>
      </x:c>
      <x:c r="F1" s="5" t="str">
        <x:v>Platform</x:v>
      </x:c>
      <x:c r="G1" s="5" t="str">
        <x:v>Branch / Scope</x:v>
      </x:c>
      <x:c r="H1" s="5" t="str">
        <x:v>Started At</x:v>
      </x:c>
      <x:c r="I1" s="5" t="str">
        <x:v>Result</x:v>
      </x:c>
      <x:c r="J1" s="5" t="str">
        <x:v>Observed Behavior</x:v>
      </x:c>
      <x:c r="K1" s="5" t="str">
        <x:v>Evidence Link</x:v>
      </x:c>
      <x:c r="L1" s="5" t="str">
        <x:v>Error IDs</x:v>
      </x:c>
      <x:c r="M1" s="5" t="str">
        <x:v>Tester</x:v>
      </x:c>
      <x:c r="N1" s="5" t="str">
        <x:v>Notes</x:v>
      </x:c>
    </x:row>
    <x:row r="2">
      <x:c r="A2" s="9" t="str">
        <x:v>RUN-A-001</x:v>
      </x:c>
      <x:c r="B2" s="9" t="str">
        <x:v>AUTH-001</x:v>
      </x:c>
      <x:c r="C2" s="9" t="str">
        <x:v>BASELINE</x:v>
      </x:c>
      <x:c r="D2" s="9" t="str">
        <x:v>1.2.2+155</x:v>
      </x:c>
      <x:c r="E2" s="9" t="str">
        <x:v>fresh install</x:v>
      </x:c>
      <x:c r="F2" s="9" t="str">
        <x:v>Android API 35</x:v>
      </x:c>
      <x:c r="G2" s="9" t="str">
        <x:v>emulator-5554</x:v>
      </x:c>
      <x:c r="H2" s="9" t="str">
        <x:v>2026-08-06</x:v>
      </x:c>
      <x:c r="I2" s="9" t="str">
        <x:v>PASS</x:v>
      </x:c>
      <x:c r="J2" s="9" t="str">
        <x:v>Cold start showed the notification permission gate and then Login; no previous account workspace was exposed.</x:v>
      </x:c>
      <x:c r="K2" s="9" t="str">
        <x:v>evidence/android/baseline-start.png</x:v>
      </x:c>
      <x:c r="L2" s="9" t="str"/>
      <x:c r="M2" s="9" t="str">
        <x:v>Codex</x:v>
      </x:c>
      <x:c r="N2" s="9" t="str">
        <x:v>UI tree + screenshot.</x:v>
      </x:c>
    </x:row>
    <x:row r="3">
      <x:c r="A3" s="9" t="str">
        <x:v>RUN-A-002</x:v>
      </x:c>
      <x:c r="B3" s="9" t="str">
        <x:v>AUTH-004</x:v>
      </x:c>
      <x:c r="C3" s="9" t="str">
        <x:v>BASELINE</x:v>
      </x:c>
      <x:c r="D3" s="9" t="str">
        <x:v>1.2.2+155</x:v>
      </x:c>
      <x:c r="E3" s="9" t="str">
        <x:v>Director / magic5</x:v>
      </x:c>
      <x:c r="F3" s="9" t="str">
        <x:v>Android API 35</x:v>
      </x:c>
      <x:c r="G3" s="9" t="str">
        <x:v>all branches</x:v>
      </x:c>
      <x:c r="H3" s="9" t="str">
        <x:v>2026-08-06</x:v>
      </x:c>
      <x:c r="I3" s="9" t="str">
        <x:v>PASS</x:v>
      </x:c>
      <x:c r="J3" s="9" t="str">
        <x:v>Exact email/password produced a backend session and opened the Director workspace on Chat.</x:v>
      </x:c>
      <x:c r="K3" s="9" t="str">
        <x:v>evidence/android/director-after-login.png</x:v>
      </x:c>
      <x:c r="L3" s="9" t="str"/>
      <x:c r="M3" s="9" t="str">
        <x:v>Codex</x:v>
      </x:c>
      <x:c r="N3" s="9" t="str">
        <x:v>Backend response and UI result agree.</x:v>
      </x:c>
    </x:row>
    <x:row r="4">
      <x:c r="A4" s="9" t="str">
        <x:v>RUN-A-003</x:v>
      </x:c>
      <x:c r="B4" s="9" t="str">
        <x:v>AUTH-008</x:v>
      </x:c>
      <x:c r="C4" s="9" t="str">
        <x:v>BASELINE</x:v>
      </x:c>
      <x:c r="D4" s="9" t="str">
        <x:v>1.2.2+155</x:v>
      </x:c>
      <x:c r="E4" s="9" t="str">
        <x:v>Director / magic5</x:v>
      </x:c>
      <x:c r="F4" s="9" t="str">
        <x:v>Android API 35</x:v>
      </x:c>
      <x:c r="G4" s="9" t="str">
        <x:v>current account</x:v>
      </x:c>
      <x:c r="H4" s="9" t="str">
        <x:v>2026-08-06</x:v>
      </x:c>
      <x:c r="I4" s="9" t="str">
        <x:v>PASS</x:v>
      </x:c>
      <x:c r="J4" s="9" t="str">
        <x:v>Logout returned to an empty Login screen; old email/password and workspace were absent.</x:v>
      </x:c>
      <x:c r="K4" s="9" t="str">
        <x:v>evidence/android/after-director-logout.png</x:v>
      </x:c>
      <x:c r="L4" s="9" t="str"/>
      <x:c r="M4" s="9" t="str">
        <x:v>Codex</x:v>
      </x:c>
      <x:c r="N4" s="9" t="str">
        <x:v>UI tree verified empty fields.</x:v>
      </x:c>
    </x:row>
    <x:row r="5">
      <x:c r="A5" s="9" t="str">
        <x:v>RUN-A-004</x:v>
      </x:c>
      <x:c r="B5" s="9" t="str">
        <x:v>AUTH-007</x:v>
      </x:c>
      <x:c r="C5" s="9" t="str">
        <x:v>BASELINE</x:v>
      </x:c>
      <x:c r="D5" s="9" t="str">
        <x:v>1.2.2+155</x:v>
      </x:c>
      <x:c r="E5" s="9" t="str">
        <x:v>Director magic5 → Client magic1</x:v>
      </x:c>
      <x:c r="F5" s="9" t="str">
        <x:v>Android API 35</x:v>
      </x:c>
      <x:c r="G5" s="9" t="str">
        <x:v>account switch</x:v>
      </x:c>
      <x:c r="H5" s="9" t="str">
        <x:v>2026-08-06</x:v>
      </x:c>
      <x:c r="I5" s="9" t="str">
        <x:v>FAIL</x:v>
      </x:c>
      <x:c r="J5" s="9" t="str">
        <x:v>After logout, exact client credentials were visible before submit; submit silently cleared the form and stayed on Login. Direct backend login returned 200 + session.</x:v>
      </x:c>
      <x:c r="K5" s="9" t="str">
        <x:v>evidence/android/client-after-switch-login.png</x:v>
      </x:c>
      <x:c r="L5" s="9" t="str">
        <x:v>ERR-001</x:v>
      </x:c>
      <x:c r="M5" s="9" t="str">
        <x:v>Codex</x:v>
      </x:c>
      <x:c r="N5" s="9" t="str">
        <x:v>Reproduces owner-reported switch-account defect.</x:v>
      </x:c>
    </x:row>
    <x:row r="6">
      <x:c r="A6" s="9" t="str">
        <x:v>RUN-A-005</x:v>
      </x:c>
      <x:c r="B6" s="9" t="str">
        <x:v>AUTH-006</x:v>
      </x:c>
      <x:c r="C6" s="9" t="str">
        <x:v>BASELINE</x:v>
      </x:c>
      <x:c r="D6" s="9" t="str">
        <x:v>1.2.2+155</x:v>
      </x:c>
      <x:c r="E6" s="9" t="str">
        <x:v>Director / magic5</x:v>
      </x:c>
      <x:c r="F6" s="9" t="str">
        <x:v>Android API 35</x:v>
      </x:c>
      <x:c r="G6" s="9" t="str">
        <x:v>same account</x:v>
      </x:c>
      <x:c r="H6" s="9" t="str">
        <x:v>2026-08-06</x:v>
      </x:c>
      <x:c r="I6" s="9" t="str">
        <x:v>FAIL</x:v>
      </x:c>
      <x:c r="J6" s="9" t="str">
        <x:v>A second login in the same process after logout silently cleared the form and stayed on Login although backend login returned 200 + session.</x:v>
      </x:c>
      <x:c r="K6" s="9" t="str">
        <x:v>evidence/android/director-relogin-result.png</x:v>
      </x:c>
      <x:c r="L6" s="9" t="str">
        <x:v>ERR-001</x:v>
      </x:c>
      <x:c r="M6" s="9" t="str">
        <x:v>Codex</x:v>
      </x:c>
      <x:c r="N6" s="9" t="str">
        <x:v>Same-account reproduction.</x:v>
      </x:c>
    </x:row>
    <x:row r="7">
      <x:c r="A7" s="9" t="str">
        <x:v>RUN-A-006</x:v>
      </x:c>
      <x:c r="B7" s="9" t="str">
        <x:v>AUTH-002</x:v>
      </x:c>
      <x:c r="C7" s="9" t="str">
        <x:v>BASELINE</x:v>
      </x:c>
      <x:c r="D7" s="9" t="str">
        <x:v>1.2.2+155</x:v>
      </x:c>
      <x:c r="E7" s="9" t="str">
        <x:v>Client / magic1</x:v>
      </x:c>
      <x:c r="F7" s="9" t="str">
        <x:v>Android API 35</x:v>
      </x:c>
      <x:c r="G7" s="9" t="str">
        <x:v>self</x:v>
      </x:c>
      <x:c r="H7" s="9" t="str">
        <x:v>2026-08-06</x:v>
      </x:c>
      <x:c r="I7" s="9" t="str">
        <x:v>PASS</x:v>
      </x:c>
      <x:c r="J7" s="9" t="str">
        <x:v>After a successful cold-process login, force-stop/start resumed the same Client workspace without a new login.</x:v>
      </x:c>
      <x:c r="K7" s="9" t="str">
        <x:v>evidence/android/client-session-resume.png</x:v>
      </x:c>
      <x:c r="L7" s="9" t="str"/>
      <x:c r="M7" s="9" t="str">
        <x:v>Codex</x:v>
      </x:c>
      <x:c r="N7" s="9" t="str">
        <x:v>Valid secure-storage session resume.</x:v>
      </x:c>
    </x:row>
    <x:row r="8">
      <x:c r="A8" s="9" t="str">
        <x:v>RUN-A-007</x:v>
      </x:c>
      <x:c r="B8" s="9" t="str">
        <x:v>NAV-001</x:v>
      </x:c>
      <x:c r="C8" s="9" t="str">
        <x:v>BASELINE</x:v>
      </x:c>
      <x:c r="D8" s="9" t="str">
        <x:v>1.2.2+155</x:v>
      </x:c>
      <x:c r="E8" s="9" t="str">
        <x:v>Director + Client</x:v>
      </x:c>
      <x:c r="F8" s="9" t="str">
        <x:v>Android API 35</x:v>
      </x:c>
      <x:c r="G8" s="9" t="str">
        <x:v>role route</x:v>
      </x:c>
      <x:c r="H8" s="9" t="str">
        <x:v>2026-08-06</x:v>
      </x:c>
      <x:c r="I8" s="9" t="str">
        <x:v>PASS</x:v>
      </x:c>
      <x:c r="J8" s="9" t="str">
        <x:v>Successful login landed each tested actor in its own role-projected workspace.</x:v>
      </x:c>
      <x:c r="K8" s="9" t="str">
        <x:v>evidence/android/director-after-login.png</x:v>
      </x:c>
      <x:c r="L8" s="9" t="str"/>
      <x:c r="M8" s="9" t="str">
        <x:v>Codex</x:v>
      </x:c>
      <x:c r="N8" s="9" t="str">
        <x:v>Director and Client observed.</x:v>
      </x:c>
    </x:row>
    <x:row r="9">
      <x:c r="A9" s="9" t="str">
        <x:v>RUN-A-008</x:v>
      </x:c>
      <x:c r="B9" s="9" t="str">
        <x:v>NAV-002</x:v>
      </x:c>
      <x:c r="C9" s="9" t="str">
        <x:v>BASELINE</x:v>
      </x:c>
      <x:c r="D9" s="9" t="str">
        <x:v>1.2.2+155</x:v>
      </x:c>
      <x:c r="E9" s="9" t="str">
        <x:v>Client / magic1</x:v>
      </x:c>
      <x:c r="F9" s="9" t="str">
        <x:v>Android API 35</x:v>
      </x:c>
      <x:c r="G9" s="9" t="str">
        <x:v>self</x:v>
      </x:c>
      <x:c r="H9" s="9" t="str">
        <x:v>2026-08-06</x:v>
      </x:c>
      <x:c r="I9" s="9" t="str">
        <x:v>PASS</x:v>
      </x:c>
      <x:c r="J9" s="9" t="str">
        <x:v>Client bottom navigation contains exactly Chat, Lessons, Subscription and Profile; staff destinations are absent.</x:v>
      </x:c>
      <x:c r="K9" s="9" t="str">
        <x:v>evidence/android/cold-client-result.png</x:v>
      </x:c>
      <x:c r="L9" s="9" t="str"/>
      <x:c r="M9" s="9" t="str">
        <x:v>Codex</x:v>
      </x:c>
      <x:c r="N9" s="9" t="str">
        <x:v>UI tree verified four tabs.</x:v>
      </x:c>
    </x:row>
    <x:row r="10">
      <x:c r="A10" s="9" t="str">
        <x:v>RUN-A-009</x:v>
      </x:c>
      <x:c r="B10" s="9" t="str">
        <x:v>CHAT-001</x:v>
      </x:c>
      <x:c r="C10" s="9" t="str">
        <x:v>BASELINE</x:v>
      </x:c>
      <x:c r="D10" s="9" t="str">
        <x:v>1.2.2+155</x:v>
      </x:c>
      <x:c r="E10" s="9" t="str">
        <x:v>Director + Client</x:v>
      </x:c>
      <x:c r="F10" s="9" t="str">
        <x:v>Android API 35</x:v>
      </x:c>
      <x:c r="G10" s="9" t="str">
        <x:v>actor chat scope</x:v>
      </x:c>
      <x:c r="H10" s="9" t="str">
        <x:v>2026-08-06</x:v>
      </x:c>
      <x:c r="I10" s="9" t="str">
        <x:v>PASS</x:v>
      </x:c>
      <x:c r="J10" s="9" t="str">
        <x:v>Both tested actors loaded an actor-scoped chat/channel list with stable routed content.</x:v>
      </x:c>
      <x:c r="K10" s="9" t="str">
        <x:v>evidence/android/director-after-login.png</x:v>
      </x:c>
      <x:c r="L10" s="9" t="str"/>
      <x:c r="M10" s="9" t="str">
        <x:v>Codex</x:v>
      </x:c>
      <x:c r="N10" s="9" t="str">
        <x:v>No crash/error in app logcat.</x:v>
      </x:c>
    </x:row>
    <x:row r="11">
      <x:c r="A11" s="9" t="str">
        <x:v>RUN-A-010</x:v>
      </x:c>
      <x:c r="B11" s="9" t="str">
        <x:v>CHAT-002</x:v>
      </x:c>
      <x:c r="C11" s="9" t="str">
        <x:v>BASELINE</x:v>
      </x:c>
      <x:c r="D11" s="9" t="str">
        <x:v>1.2.2+155</x:v>
      </x:c>
      <x:c r="E11" s="9" t="str">
        <x:v>Client / magic1</x:v>
      </x:c>
      <x:c r="F11" s="9" t="str">
        <x:v>Android API 35</x:v>
      </x:c>
      <x:c r="G11" s="9" t="str">
        <x:v>actor chat scope</x:v>
      </x:c>
      <x:c r="H11" s="9" t="str">
        <x:v>2026-08-06</x:v>
      </x:c>
      <x:c r="I11" s="9" t="str">
        <x:v>PASS</x:v>
      </x:c>
      <x:c r="J11" s="9" t="str">
        <x:v>Typing a → ad → adm preserved the field value and focus on every character; the route did not restart and showed a stable no-match state.</x:v>
      </x:c>
      <x:c r="K11" s="9" t="str">
        <x:v>evidence/android/client-chat-search-adm.png</x:v>
      </x:c>
      <x:c r="L11" s="9" t="str"/>
      <x:c r="M11" s="9" t="str">
        <x:v>Codex</x:v>
      </x:c>
      <x:c r="N11" s="9" t="str">
        <x:v>Three step-specific UI trees recorded.</x:v>
      </x:c>
    </x:row>
    <x:row r="12">
      <x:c r="A12" s="9" t="str">
        <x:v>RUN-A-011</x:v>
      </x:c>
      <x:c r="B12" s="9" t="str">
        <x:v>PORT-001</x:v>
      </x:c>
      <x:c r="C12" s="9" t="str">
        <x:v>BASELINE</x:v>
      </x:c>
      <x:c r="D12" s="9" t="str">
        <x:v>1.2.2+155</x:v>
      </x:c>
      <x:c r="E12" s="9" t="str">
        <x:v>Client / magic1</x:v>
      </x:c>
      <x:c r="F12" s="9" t="str">
        <x:v>Android API 35</x:v>
      </x:c>
      <x:c r="G12" s="9" t="str">
        <x:v>self</x:v>
      </x:c>
      <x:c r="H12" s="9" t="str">
        <x:v>2026-08-06</x:v>
      </x:c>
      <x:c r="I12" s="9" t="str">
        <x:v>PASS</x:v>
      </x:c>
      <x:c r="J12" s="9" t="str">
        <x:v>Upcoming lessons loaded with date/time, Teacher, Branch, Room, duration and lifecycle status.</x:v>
      </x:c>
      <x:c r="K12" s="9" t="str">
        <x:v>evidence/android/client-lessons.png</x:v>
      </x:c>
      <x:c r="L12" s="9" t="str"/>
      <x:c r="M12" s="9" t="str">
        <x:v>Codex</x:v>
      </x:c>
      <x:c r="N12" s="9" t="str">
        <x:v>Self-scoped seeded data.</x:v>
      </x:c>
    </x:row>
    <x:row r="13">
      <x:c r="A13" s="9" t="str">
        <x:v>RUN-A-012</x:v>
      </x:c>
      <x:c r="B13" s="9" t="str">
        <x:v>PORT-002</x:v>
      </x:c>
      <x:c r="C13" s="9" t="str">
        <x:v>BASELINE</x:v>
      </x:c>
      <x:c r="D13" s="9" t="str">
        <x:v>1.2.2+155</x:v>
      </x:c>
      <x:c r="E13" s="9" t="str">
        <x:v>Client / magic1</x:v>
      </x:c>
      <x:c r="F13" s="9" t="str">
        <x:v>Android API 35</x:v>
      </x:c>
      <x:c r="G13" s="9" t="str">
        <x:v>self</x:v>
      </x:c>
      <x:c r="H13" s="9" t="str">
        <x:v>2026-08-06</x:v>
      </x:c>
      <x:c r="I13" s="9" t="str">
        <x:v>PASS</x:v>
      </x:c>
      <x:c r="J13" s="9" t="str">
        <x:v>Lesson history loaded completed/past lessons separately from Upcoming.</x:v>
      </x:c>
      <x:c r="K13" s="9" t="str">
        <x:v>evidence/android/client-lesson-history.png</x:v>
      </x:c>
      <x:c r="L13" s="9" t="str"/>
      <x:c r="M13" s="9" t="str">
        <x:v>Codex</x:v>
      </x:c>
      <x:c r="N13" s="9" t="str">
        <x:v>Human labels present.</x:v>
      </x:c>
    </x:row>
    <x:row r="14">
      <x:c r="A14" s="9" t="str">
        <x:v>RUN-A-013</x:v>
      </x:c>
      <x:c r="B14" s="9" t="str">
        <x:v>PORT-003</x:v>
      </x:c>
      <x:c r="C14" s="9" t="str">
        <x:v>BASELINE</x:v>
      </x:c>
      <x:c r="D14" s="9" t="str">
        <x:v>1.2.2+155</x:v>
      </x:c>
      <x:c r="E14" s="9" t="str">
        <x:v>Client / magic1</x:v>
      </x:c>
      <x:c r="F14" s="9" t="str">
        <x:v>Android API 35</x:v>
      </x:c>
      <x:c r="G14" s="9" t="str">
        <x:v>self</x:v>
      </x:c>
      <x:c r="H14" s="9" t="str">
        <x:v>2026-08-06</x:v>
      </x:c>
      <x:c r="I14" s="9" t="str">
        <x:v>PASS</x:v>
      </x:c>
      <x:c r="J14" s="9" t="str">
        <x:v>Homework segment loaded the assigned item with submitted status, description and due date.</x:v>
      </x:c>
      <x:c r="K14" s="9" t="str">
        <x:v>evidence/android/client-homework.png</x:v>
      </x:c>
      <x:c r="L14" s="9" t="str"/>
      <x:c r="M14" s="9" t="str">
        <x:v>Codex</x:v>
      </x:c>
      <x:c r="N14" s="9" t="str">
        <x:v>Submission mutation not covered by this read story.</x:v>
      </x:c>
    </x:row>
    <x:row r="15">
      <x:c r="A15" s="9" t="str">
        <x:v>RUN-A-014</x:v>
      </x:c>
      <x:c r="B15" s="9" t="str">
        <x:v>PORT-004</x:v>
      </x:c>
      <x:c r="C15" s="9" t="str">
        <x:v>BASELINE</x:v>
      </x:c>
      <x:c r="D15" s="9" t="str">
        <x:v>1.2.2+155</x:v>
      </x:c>
      <x:c r="E15" s="9" t="str">
        <x:v>Client / magic1</x:v>
      </x:c>
      <x:c r="F15" s="9" t="str">
        <x:v>Android API 35</x:v>
      </x:c>
      <x:c r="G15" s="9" t="str">
        <x:v>self finance</x:v>
      </x:c>
      <x:c r="H15" s="9" t="str">
        <x:v>2026-08-06</x:v>
      </x:c>
      <x:c r="I15" s="9" t="str">
        <x:v>PASS</x:v>
      </x:c>
      <x:c r="J15" s="9" t="str">
        <x:v>Subscription segment showed a clear no-active-subscription state and contact-admin guidance.</x:v>
      </x:c>
      <x:c r="K15" s="9" t="str">
        <x:v>evidence/android/client-subscription.png</x:v>
      </x:c>
      <x:c r="L15" s="9" t="str"/>
      <x:c r="M15" s="9" t="str">
        <x:v>Codex</x:v>
      </x:c>
      <x:c r="N15" s="9" t="str">
        <x:v>Honest empty state.</x:v>
      </x:c>
    </x:row>
    <x:row r="16">
      <x:c r="A16" s="9" t="str">
        <x:v>RUN-A-015</x:v>
      </x:c>
      <x:c r="B16" s="9" t="str">
        <x:v>PORT-005</x:v>
      </x:c>
      <x:c r="C16" s="9" t="str">
        <x:v>BASELINE</x:v>
      </x:c>
      <x:c r="D16" s="9" t="str">
        <x:v>1.2.2+155</x:v>
      </x:c>
      <x:c r="E16" s="9" t="str">
        <x:v>Client / magic1</x:v>
      </x:c>
      <x:c r="F16" s="9" t="str">
        <x:v>Android API 35</x:v>
      </x:c>
      <x:c r="G16" s="9" t="str">
        <x:v>self finance</x:v>
      </x:c>
      <x:c r="H16" s="9" t="str">
        <x:v>2026-08-06</x:v>
      </x:c>
      <x:c r="I16" s="9" t="str">
        <x:v>PASS</x:v>
      </x:c>
      <x:c r="J16" s="9" t="str">
        <x:v>Payments segment loaded the immutable 24,000 ₽ payment with date and purpose and no staff actions.</x:v>
      </x:c>
      <x:c r="K16" s="9" t="str">
        <x:v>evidence/android/client-payments.png</x:v>
      </x:c>
      <x:c r="L16" s="9" t="str"/>
      <x:c r="M16" s="9" t="str">
        <x:v>Codex</x:v>
      </x:c>
      <x:c r="N16" s="9" t="str">
        <x:v>Self projection.</x:v>
      </x:c>
    </x:row>
    <x:row r="17">
      <x:c r="A17" s="9" t="str">
        <x:v>RUN-A-016</x:v>
      </x:c>
      <x:c r="B17" s="9" t="str">
        <x:v>PORT-006</x:v>
      </x:c>
      <x:c r="C17" s="9" t="str">
        <x:v>BASELINE</x:v>
      </x:c>
      <x:c r="D17" s="9" t="str">
        <x:v>1.2.2+155</x:v>
      </x:c>
      <x:c r="E17" s="9" t="str">
        <x:v>Client / magic1</x:v>
      </x:c>
      <x:c r="F17" s="9" t="str">
        <x:v>Android API 35</x:v>
      </x:c>
      <x:c r="G17" s="9" t="str">
        <x:v>self</x:v>
      </x:c>
      <x:c r="H17" s="9" t="str">
        <x:v>2026-08-06</x:v>
      </x:c>
      <x:c r="I17" s="9" t="str">
        <x:v>PASS</x:v>
      </x:c>
      <x:c r="J17" s="9" t="str">
        <x:v>Profile loaded current name, role, photo action, birth date and auth-method entry with role shown read-only.</x:v>
      </x:c>
      <x:c r="K17" s="9" t="str">
        <x:v>evidence/android/client-profile.png</x:v>
      </x:c>
      <x:c r="L17" s="9" t="str"/>
      <x:c r="M17" s="9" t="str">
        <x:v>Codex</x:v>
      </x:c>
      <x:c r="N17" s="9" t="str">
        <x:v>Profile mutation remains unexecuted under AUTH-023.</x:v>
      </x:c>
    </x:row>
    <x:row r="18">
      <x:c r="A18" s="9" t="str">
        <x:v>RUN-A-017</x:v>
      </x:c>
      <x:c r="B18" s="9" t="str">
        <x:v>COM-010</x:v>
      </x:c>
      <x:c r="C18" s="9" t="str">
        <x:v>BASELINE</x:v>
      </x:c>
      <x:c r="D18" s="9" t="str">
        <x:v>1.2.2+155</x:v>
      </x:c>
      <x:c r="E18" s="9" t="str">
        <x:v>Client / magic1</x:v>
      </x:c>
      <x:c r="F18" s="9" t="str">
        <x:v>Android API 35</x:v>
      </x:c>
      <x:c r="G18" s="9" t="str">
        <x:v>client self</x:v>
      </x:c>
      <x:c r="H18" s="9" t="str">
        <x:v>2026-08-06</x:v>
      </x:c>
      <x:c r="I18" s="9" t="str">
        <x:v>PASS</x:v>
      </x:c>
      <x:c r="J18" s="9" t="str">
        <x:v>Self commerce projection rendered subscription empty state and payment history without staff-only controls.</x:v>
      </x:c>
      <x:c r="K18" s="9" t="str">
        <x:v>evidence/android/client-payments.png</x:v>
      </x:c>
      <x:c r="L18" s="9" t="str"/>
      <x:c r="M18" s="9" t="str">
        <x:v>Codex</x:v>
      </x:c>
      <x:c r="N18" s="9" t="str">
        <x:v>Read projection verified.</x:v>
      </x:c>
    </x:row>
    <x:row r="19">
      <x:c r="A19" s="9" t="str">
        <x:v>RUN-A-018</x:v>
      </x:c>
      <x:c r="B19" s="9" t="str">
        <x:v>PORT-007</x:v>
      </x:c>
      <x:c r="C19" s="9" t="str">
        <x:v>BASELINE</x:v>
      </x:c>
      <x:c r="D19" s="9" t="str">
        <x:v>1.2.2+155</x:v>
      </x:c>
      <x:c r="E19" s="9" t="str">
        <x:v>Client / magic1</x:v>
      </x:c>
      <x:c r="F19" s="9" t="str">
        <x:v>Android API 35</x:v>
      </x:c>
      <x:c r="G19" s="9" t="str">
        <x:v>self</x:v>
      </x:c>
      <x:c r="H19" s="9" t="str">
        <x:v>2026-08-06</x:v>
      </x:c>
      <x:c r="I19" s="9" t="str">
        <x:v>PASS</x:v>
      </x:c>
      <x:c r="J19" s="9" t="str">
        <x:v>My School opened the composed self portal with subscription state, upcoming/history/homework segments and Refresh.</x:v>
      </x:c>
      <x:c r="K19" s="9" t="str">
        <x:v>evidence/android/client-my-school.png</x:v>
      </x:c>
      <x:c r="L19" s="9" t="str"/>
      <x:c r="M19" s="9" t="str">
        <x:v>Codex</x:v>
      </x:c>
      <x:c r="N19" s="9" t="str">
        <x:v>Single linked student, so child switcher correctly remained hidden.</x:v>
      </x:c>
    </x:row>
    <x:row r="20">
      <x:c r="A20" s="9" t="str">
        <x:v>RUN-A-019</x:v>
      </x:c>
      <x:c r="B20" s="9" t="str">
        <x:v>NAV-014</x:v>
      </x:c>
      <x:c r="C20" s="9" t="str">
        <x:v>BASELINE</x:v>
      </x:c>
      <x:c r="D20" s="9" t="str">
        <x:v>1.2.2+155</x:v>
      </x:c>
      <x:c r="E20" s="9" t="str">
        <x:v>Client / magic1</x:v>
      </x:c>
      <x:c r="F20" s="9" t="str">
        <x:v>Android API 35</x:v>
      </x:c>
      <x:c r="G20" s="9" t="str">
        <x:v>workspace back</x:v>
      </x:c>
      <x:c r="H20" s="9" t="str">
        <x:v>2026-08-06</x:v>
      </x:c>
      <x:c r="I20" s="9" t="str">
        <x:v>PASS</x:v>
      </x:c>
      <x:c r="J20" s="9" t="str">
        <x:v>Android Back returned from My School to Chat and preserved the existing adm search state.</x:v>
      </x:c>
      <x:c r="K20" s="9" t="str">
        <x:v>evidence/android/client-my-school-back.png</x:v>
      </x:c>
      <x:c r="L20" s="9" t="str"/>
      <x:c r="M20" s="9" t="str">
        <x:v>Codex</x:v>
      </x:c>
      <x:c r="N20" s="9" t="str">
        <x:v>UI tree verified restored route and field value.</x:v>
      </x:c>
    </x:row>
    <x:row r="21">
      <x:c r="A21" s="9" t="str">
        <x:v>RUN-A-020</x:v>
      </x:c>
      <x:c r="B21" s="9" t="str">
        <x:v>CRM-002</x:v>
      </x:c>
      <x:c r="C21" s="9" t="str">
        <x:v>BASELINE</x:v>
      </x:c>
      <x:c r="D21" s="9" t="str">
        <x:v>1.2.2+155</x:v>
      </x:c>
      <x:c r="E21" s="9" t="str">
        <x:v>Director / magic5</x:v>
      </x:c>
      <x:c r="F21" s="9" t="str">
        <x:v>Android API 35</x:v>
      </x:c>
      <x:c r="G21" s="9" t="str">
        <x:v>all branches</x:v>
      </x:c>
      <x:c r="H21" s="9" t="str">
        <x:v>2026-08-06</x:v>
      </x:c>
      <x:c r="I21" s="9" t="str">
        <x:v>PASS</x:v>
      </x:c>
      <x:c r="J21" s="9" t="str">
        <x:v>Typing 7 → 79 → 791 preserved the Lead search value and focus on every character; the board stayed mounted and settled to matching phone cards.</x:v>
      </x:c>
      <x:c r="K21" s="9" t="str">
        <x:v>evidence/android/lead-search-791-settled.png</x:v>
      </x:c>
      <x:c r="L21" s="9" t="str"/>
      <x:c r="M21" s="9" t="str">
        <x:v>Codex</x:v>
      </x:c>
      <x:c r="N21" s="9" t="str">
        <x:v>Three step-specific UI trees plus settled result recorded.</x:v>
      </x:c>
    </x:row>
    <x:row r="22">
      <x:c r="A22" s="9" t="str">
        <x:v>RUN-A-021</x:v>
      </x:c>
      <x:c r="B22" s="9" t="str">
        <x:v>CRM-019</x:v>
      </x:c>
      <x:c r="C22" s="9" t="str">
        <x:v>BASELINE</x:v>
      </x:c>
      <x:c r="D22" s="9" t="str">
        <x:v>1.2.2+155</x:v>
      </x:c>
      <x:c r="E22" s="9" t="str">
        <x:v>Director / magic5</x:v>
      </x:c>
      <x:c r="F22" s="9" t="str">
        <x:v>Android API 35</x:v>
      </x:c>
      <x:c r="G22" s="9" t="str">
        <x:v>Sokol</x:v>
      </x:c>
      <x:c r="H22" s="9" t="str">
        <x:v>2026-08-06</x:v>
      </x:c>
      <x:c r="I22" s="9" t="str">
        <x:v>PASS</x:v>
      </x:c>
      <x:c r="J22" s="9" t="str">
        <x:v>Typing 7 → 79 → 796 preserved the Student search value and focus; count narrowed from 147 to 16 without a route restart.</x:v>
      </x:c>
      <x:c r="K22" s="9" t="str">
        <x:v>evidence/android/student-search-796-settled.png</x:v>
      </x:c>
      <x:c r="L22" s="9" t="str"/>
      <x:c r="M22" s="9" t="str">
        <x:v>Codex</x:v>
      </x:c>
      <x:c r="N22" s="9" t="str">
        <x:v>Three step-specific UI trees plus settled result recorded.</x:v>
      </x:c>
    </x:row>
    <x:row r="23">
      <x:c r="A23" s="9" t="str">
        <x:v>RUN-A-022</x:v>
      </x:c>
      <x:c r="B23" s="9" t="str">
        <x:v>SCH-006</x:v>
      </x:c>
      <x:c r="C23" s="9" t="str">
        <x:v>BASELINE</x:v>
      </x:c>
      <x:c r="D23" s="9" t="str">
        <x:v>1.2.2+155</x:v>
      </x:c>
      <x:c r="E23" s="9" t="str">
        <x:v>Director / magic5</x:v>
      </x:c>
      <x:c r="F23" s="9" t="str">
        <x:v>Android API 35</x:v>
      </x:c>
      <x:c r="G23" s="9" t="str">
        <x:v>Sokol</x:v>
      </x:c>
      <x:c r="H23" s="9" t="str">
        <x:v>2026-08-06</x:v>
      </x:c>
      <x:c r="I23" s="9" t="str">
        <x:v>PASS</x:v>
      </x:c>
      <x:c r="J23" s="9" t="str">
        <x:v>Typing М → Ма → Мар → Маргарита preserved the exact Unicode query and focused search field without recreating the Schedule route.</x:v>
      </x:c>
      <x:c r="K23" s="9" t="str">
        <x:v>evidence/android/schedule-search-margarita-ui.xml</x:v>
      </x:c>
      <x:c r="L23" s="9" t="str"/>
      <x:c r="M23" s="9" t="str">
        <x:v>Codex</x:v>
      </x:c>
      <x:c r="N23" s="9" t="str">
        <x:v>Four step-specific UI trees recorded using a test IME for Unicode input.</x:v>
      </x:c>
    </x:row>
    <x:row r="24">
      <x:c r="A24" s="9" t="str">
        <x:v>RUN-A-023</x:v>
      </x:c>
      <x:c r="B24" s="9" t="str">
        <x:v>SCH-001</x:v>
      </x:c>
      <x:c r="C24" s="9" t="str">
        <x:v>BASELINE</x:v>
      </x:c>
      <x:c r="D24" s="9" t="str">
        <x:v>1.2.2+155</x:v>
      </x:c>
      <x:c r="E24" s="9" t="str">
        <x:v>Director / magic5</x:v>
      </x:c>
      <x:c r="F24" s="9" t="str">
        <x:v>Android API 35</x:v>
      </x:c>
      <x:c r="G24" s="9" t="str">
        <x:v>Sokol / August 2026</x:v>
      </x:c>
      <x:c r="H24" s="9" t="str">
        <x:v>2026-08-06</x:v>
      </x:c>
      <x:c r="I24" s="9" t="str">
        <x:v>PASS</x:v>
      </x:c>
      <x:c r="J24" s="9" t="str">
        <x:v>Month rendered all days with lesson counts and human-labelled previews; date/view controls remained usable.</x:v>
      </x:c>
      <x:c r="K24" s="9" t="str">
        <x:v>evidence/android/director-schedule.png</x:v>
      </x:c>
      <x:c r="L24" s="9" t="str"/>
      <x:c r="M24" s="9" t="str">
        <x:v>Codex</x:v>
      </x:c>
      <x:c r="N24" s="9" t="str">
        <x:v>Seeded high-density month.</x:v>
      </x:c>
    </x:row>
    <x:row r="25">
      <x:c r="A25" s="9" t="str">
        <x:v>RUN-A-024</x:v>
      </x:c>
      <x:c r="B25" s="9" t="str">
        <x:v>SCH-007</x:v>
      </x:c>
      <x:c r="C25" s="9" t="str">
        <x:v>BASELINE</x:v>
      </x:c>
      <x:c r="D25" s="9" t="str">
        <x:v>1.2.2+155</x:v>
      </x:c>
      <x:c r="E25" s="9" t="str">
        <x:v>Director / magic5</x:v>
      </x:c>
      <x:c r="F25" s="9" t="str">
        <x:v>Android API 35</x:v>
      </x:c>
      <x:c r="G25" s="9" t="str">
        <x:v>Sokol / August 2026</x:v>
      </x:c>
      <x:c r="H25" s="9" t="str">
        <x:v>2026-08-06</x:v>
      </x:c>
      <x:c r="I25" s="9" t="str">
        <x:v>PASS</x:v>
      </x:c>
      <x:c r="J25" s="9" t="str">
        <x:v>Searching Маргарита colored only days containing matching lessons green, kept every other day gray and marked the first match ergonomically.</x:v>
      </x:c>
      <x:c r="K25" s="9" t="str">
        <x:v>evidence/android/schedule-month-margarita.png</x:v>
      </x:c>
      <x:c r="L25" s="9" t="str"/>
      <x:c r="M25" s="9" t="str">
        <x:v>Codex</x:v>
      </x:c>
      <x:c r="N25" s="9" t="str">
        <x:v>Visual inspection plus UI tree verified matching day labels.</x:v>
      </x:c>
    </x:row>
    <x:row r="26">
      <x:c r="A26" s="9" t="str">
        <x:v>RUN-A-025</x:v>
      </x:c>
      <x:c r="B26" s="9" t="str">
        <x:v>SCH-002</x:v>
      </x:c>
      <x:c r="C26" s="9" t="str">
        <x:v>BASELINE</x:v>
      </x:c>
      <x:c r="D26" s="9" t="str">
        <x:v>1.2.2+155</x:v>
      </x:c>
      <x:c r="E26" s="9" t="str">
        <x:v>Director / magic5</x:v>
      </x:c>
      <x:c r="F26" s="9" t="str">
        <x:v>Android API 35</x:v>
      </x:c>
      <x:c r="G26" s="9" t="str">
        <x:v>Sokol / 3–9 August 2026</x:v>
      </x:c>
      <x:c r="H26" s="9" t="str">
        <x:v>2026-08-06</x:v>
      </x:c>
      <x:c r="I26" s="9" t="str">
        <x:v>FAIL</x:v>
      </x:c>
      <x:c r="J26" s="9" t="str">
        <x:v>Week view mounted sticky day/time headers, but simultaneous lessons in one day occupy the same lane and fully overlap, making names and cards unreadable.</x:v>
      </x:c>
      <x:c r="K26" s="9" t="str">
        <x:v>evidence/android/schedule-week-margarita-scrolled.png</x:v>
      </x:c>
      <x:c r="L26" s="9" t="str">
        <x:v>ERR-002</x:v>
      </x:c>
      <x:c r="M26" s="9" t="str">
        <x:v>Codex</x:v>
      </x:c>
      <x:c r="N26" s="9" t="str">
        <x:v>Reproduced at 12:00, 14:00, 15:00 and 16:00.</x:v>
      </x:c>
    </x:row>
    <x:row r="27">
      <x:c r="A27" s="9" t="str">
        <x:v>RUN-A-026</x:v>
      </x:c>
      <x:c r="B27" s="9" t="str">
        <x:v>SCH-008</x:v>
      </x:c>
      <x:c r="C27" s="9" t="str">
        <x:v>BASELINE</x:v>
      </x:c>
      <x:c r="D27" s="9" t="str">
        <x:v>1.2.2+155</x:v>
      </x:c>
      <x:c r="E27" s="9" t="str">
        <x:v>Director / magic5</x:v>
      </x:c>
      <x:c r="F27" s="9" t="str">
        <x:v>Android API 35</x:v>
      </x:c>
      <x:c r="G27" s="9" t="str">
        <x:v>Sokol / 3–9 August 2026</x:v>
      </x:c>
      <x:c r="H27" s="9" t="str">
        <x:v>2026-08-06</x:v>
      </x:c>
      <x:c r="I27" s="9" t="str">
        <x:v>FAIL</x:v>
      </x:c>
      <x:c r="J27" s="9" t="str">
        <x:v>The matching Маргарита lesson turns green and non-matches gray, but overlapping same-time cards make both matching context and non-matching lessons unreadable.</x:v>
      </x:c>
      <x:c r="K27" s="9" t="str">
        <x:v>evidence/android/schedule-week-margarita-scrolled.png</x:v>
      </x:c>
      <x:c r="L27" s="9" t="str">
        <x:v>ERR-002</x:v>
      </x:c>
      <x:c r="M27" s="9" t="str">
        <x:v>Codex</x:v>
      </x:c>
      <x:c r="N27" s="9" t="str">
        <x:v>Color rule works; the story fails its readability requirement.</x:v>
      </x:c>
    </x:row>
    <x:row r="28">
      <x:c r="A28" s="9" t="str">
        <x:v>RUN-A-027</x:v>
      </x:c>
      <x:c r="B28" s="9" t="str">
        <x:v>SCH-003</x:v>
      </x:c>
      <x:c r="C28" s="9" t="str">
        <x:v>BASELINE</x:v>
      </x:c>
      <x:c r="D28" s="9" t="str">
        <x:v>1.2.2+155</x:v>
      </x:c>
      <x:c r="E28" s="9" t="str">
        <x:v>Director / magic5</x:v>
      </x:c>
      <x:c r="F28" s="9" t="str">
        <x:v>Android API 35</x:v>
      </x:c>
      <x:c r="G28" s="9" t="str">
        <x:v>Sokol / 4 August 2026</x:v>
      </x:c>
      <x:c r="H28" s="9" t="str">
        <x:v>2026-08-06</x:v>
      </x:c>
      <x:c r="I28" s="9" t="str">
        <x:v>PASS</x:v>
      </x:c>
      <x:c r="J28" s="9" t="str">
        <x:v>Day view grouped lessons by room with readable time placement and retained the active search context.</x:v>
      </x:c>
      <x:c r="K28" s="9" t="str">
        <x:v>evidence/android/schedule-day4-margarita.png</x:v>
      </x:c>
      <x:c r="L28" s="9" t="str"/>
      <x:c r="M28" s="9" t="str">
        <x:v>Codex</x:v>
      </x:c>
      <x:c r="N28" s="9" t="str">
        <x:v>Visible room columns and time grid.</x:v>
      </x:c>
    </x:row>
    <x:row r="29">
      <x:c r="A29" s="9" t="str">
        <x:v>RUN-A-028</x:v>
      </x:c>
      <x:c r="B29" s="9" t="str">
        <x:v>SCH-009</x:v>
      </x:c>
      <x:c r="C29" s="9" t="str">
        <x:v>BASELINE</x:v>
      </x:c>
      <x:c r="D29" s="9" t="str">
        <x:v>1.2.2+155</x:v>
      </x:c>
      <x:c r="E29" s="9" t="str">
        <x:v>Director / magic5</x:v>
      </x:c>
      <x:c r="F29" s="9" t="str">
        <x:v>Android API 35</x:v>
      </x:c>
      <x:c r="G29" s="9" t="str">
        <x:v>Sokol / 4 August 2026</x:v>
      </x:c>
      <x:c r="H29" s="9" t="str">
        <x:v>2026-08-06</x:v>
      </x:c>
      <x:c r="I29" s="9" t="str">
        <x:v>PASS</x:v>
      </x:c>
      <x:c r="J29" s="9" t="str">
        <x:v>Only the Маргарита lesson was green with first-match emphasis; all other visible lessons were gray, and clearing search restored the normal palette.</x:v>
      </x:c>
      <x:c r="K29" s="9" t="str">
        <x:v>evidence/android/schedule-day4-margarita.png</x:v>
      </x:c>
      <x:c r="L29" s="9" t="str"/>
      <x:c r="M29" s="9" t="str">
        <x:v>Codex</x:v>
      </x:c>
      <x:c r="N29" s="9" t="str">
        <x:v>Clear-state UI tree recorded separately.</x:v>
      </x:c>
    </x:row>
    <x:row r="30">
      <x:c r="A30" s="9" t="str">
        <x:v>RUN-A-029</x:v>
      </x:c>
      <x:c r="B30" s="9" t="str">
        <x:v>SCH-004</x:v>
      </x:c>
      <x:c r="C30" s="9" t="str">
        <x:v>BASELINE</x:v>
      </x:c>
      <x:c r="D30" s="9" t="str">
        <x:v>1.2.2+155</x:v>
      </x:c>
      <x:c r="E30" s="9" t="str">
        <x:v>Director / magic5</x:v>
      </x:c>
      <x:c r="F30" s="9" t="str">
        <x:v>Android API 35</x:v>
      </x:c>
      <x:c r="G30" s="9" t="str">
        <x:v>Sokol</x:v>
      </x:c>
      <x:c r="H30" s="9" t="str">
        <x:v>2026-08-06</x:v>
      </x:c>
      <x:c r="I30" s="9" t="str">
        <x:v>PASS</x:v>
      </x:c>
      <x:c r="J30" s="9" t="str">
        <x:v>Month → Week → Day and date navigation changed the period deterministically while preserving branch and search query.</x:v>
      </x:c>
      <x:c r="K30" s="9" t="str">
        <x:v>evidence/android/schedule-day4-margarita.png</x:v>
      </x:c>
      <x:c r="L30" s="9" t="str"/>
      <x:c r="M30" s="9" t="str">
        <x:v>Codex</x:v>
      </x:c>
      <x:c r="N30" s="9" t="str">
        <x:v>Observed August month, 3–9 August week and 4 August day.</x:v>
      </x:c>
    </x:row>
    <x:row r="31">
      <x:c r="A31" s="9" t="str">
        <x:v>RUN-A-030</x:v>
      </x:c>
      <x:c r="B31" s="9" t="str">
        <x:v>SCH-010</x:v>
      </x:c>
      <x:c r="C31" s="9" t="str">
        <x:v>BASELINE</x:v>
      </x:c>
      <x:c r="D31" s="9" t="str">
        <x:v>1.2.2+155</x:v>
      </x:c>
      <x:c r="E31" s="9" t="str">
        <x:v>Director / magic5</x:v>
      </x:c>
      <x:c r="F31" s="9" t="str">
        <x:v>Android API 35</x:v>
      </x:c>
      <x:c r="G31" s="9" t="str">
        <x:v>Sokol / 4 August 2026</x:v>
      </x:c>
      <x:c r="H31" s="9" t="str">
        <x:v>2026-08-06</x:v>
      </x:c>
      <x:c r="I31" s="9" t="str">
        <x:v>FAIL</x:v>
      </x:c>
      <x:c r="J31" s="9" t="str">
        <x:v>A ZZZ query kept the calendar mounted and dimmed all lessons, but showed no explicit zero-match message or count, leaving the result ambiguous.</x:v>
      </x:c>
      <x:c r="K31" s="9" t="str">
        <x:v>evidence/android/schedule-day-zzz.png</x:v>
      </x:c>
      <x:c r="L31" s="9" t="str">
        <x:v>ERR-003</x:v>
      </x:c>
      <x:c r="M31" s="9" t="str">
        <x:v>Codex</x:v>
      </x:c>
      <x:c r="N31" s="9" t="str">
        <x:v>No-match route stability passes; explicit empty feedback is missing.</x:v>
      </x:c>
    </x:row>
    <x:row r="32">
      <x:c r="A32" s="9" t="str">
        <x:v>RUN-A-031</x:v>
      </x:c>
      <x:c r="B32" s="9" t="str">
        <x:v>NAV-003</x:v>
      </x:c>
      <x:c r="C32" s="9" t="str">
        <x:v>BASELINE</x:v>
      </x:c>
      <x:c r="D32" s="9" t="str">
        <x:v>1.2.2+155</x:v>
      </x:c>
      <x:c r="E32" s="9" t="str">
        <x:v>Teacher / magic2</x:v>
      </x:c>
      <x:c r="F32" s="9" t="str">
        <x:v>Android API 35</x:v>
      </x:c>
      <x:c r="G32" s="9" t="str">
        <x:v>assigned scope</x:v>
      </x:c>
      <x:c r="H32" s="9" t="str">
        <x:v>2026-08-06</x:v>
      </x:c>
      <x:c r="I32" s="9" t="str">
        <x:v>FAIL</x:v>
      </x:c>
      <x:c r="J32" s="9" t="str">
        <x:v>Navigation correctly exposed only Chat, Day/Week Schedule and assigned Students, with finance/settings/create hidden; however the read-only calendar still advertised long-press and drag mutation gestures.</x:v>
      </x:c>
      <x:c r="K32" s="9" t="str">
        <x:v>evidence/android/teacher-schedule.png</x:v>
      </x:c>
      <x:c r="L32" s="9" t="str">
        <x:v>ERR-004</x:v>
      </x:c>
      <x:c r="M32" s="9" t="str">
        <x:v>Codex</x:v>
      </x:c>
      <x:c r="N32" s="9" t="str">
        <x:v>Capability ceiling is correct; misleading write affordances fail the story.</x:v>
      </x:c>
    </x:row>
    <x:row r="33">
      <x:c r="A33" s="9" t="str">
        <x:v>RUN-A-032</x:v>
      </x:c>
      <x:c r="B33" s="9" t="str">
        <x:v>CRM-018</x:v>
      </x:c>
      <x:c r="C33" s="9" t="str">
        <x:v>BASELINE</x:v>
      </x:c>
      <x:c r="D33" s="9" t="str">
        <x:v>1.2.2+155</x:v>
      </x:c>
      <x:c r="E33" s="9" t="str">
        <x:v>Teacher / magic2</x:v>
      </x:c>
      <x:c r="F33" s="9" t="str">
        <x:v>Android API 35</x:v>
      </x:c>
      <x:c r="G33" s="9" t="str">
        <x:v>assigned students</x:v>
      </x:c>
      <x:c r="H33" s="9" t="str">
        <x:v>2026-08-06</x:v>
      </x:c>
      <x:c r="I33" s="9" t="str">
        <x:v>PASS</x:v>
      </x:c>
      <x:c r="J33" s="9" t="str">
        <x:v>Teacher Students showed only two assigned records and exposed no contact, finance, configuration or staff-management data.</x:v>
      </x:c>
      <x:c r="K33" s="9" t="str">
        <x:v>evidence/android/teacher-students.png</x:v>
      </x:c>
      <x:c r="L33" s="9" t="str"/>
      <x:c r="M33" s="9" t="str">
        <x:v>Codex</x:v>
      </x:c>
      <x:c r="N33" s="9" t="str">
        <x:v>Actor-safe compact projection.</x:v>
      </x:c>
    </x:row>
    <x:row r="34">
      <x:c r="A34" s="9" t="str">
        <x:v>RUN-A-033</x:v>
      </x:c>
      <x:c r="B34" s="9" t="str">
        <x:v>CRM-025</x:v>
      </x:c>
      <x:c r="C34" s="9" t="str">
        <x:v>BASELINE</x:v>
      </x:c>
      <x:c r="D34" s="9" t="str">
        <x:v>1.2.2+155</x:v>
      </x:c>
      <x:c r="E34" s="9" t="str">
        <x:v>Teacher / magic2</x:v>
      </x:c>
      <x:c r="F34" s="9" t="str">
        <x:v>Android API 35</x:v>
      </x:c>
      <x:c r="G34" s="9" t="str">
        <x:v>assigned student</x:v>
      </x:c>
      <x:c r="H34" s="9" t="str">
        <x:v>2026-08-06</x:v>
      </x:c>
      <x:c r="I34" s="9" t="str">
        <x:v>FAIL</x:v>
      </x:c>
      <x:c r="J34" s="9" t="str">
        <x:v>The assigned Student workspace opened with actor-safe Lessons, Homework and shared Comments tabs, but rendered raw ISO timestamps and untranslated active/scheduled/submitted statuses.</x:v>
      </x:c>
      <x:c r="K34" s="9" t="str">
        <x:v>evidence/android/teacher-student-card.png</x:v>
      </x:c>
      <x:c r="L34" s="9" t="str">
        <x:v>ERR-005</x:v>
      </x:c>
      <x:c r="M34" s="9" t="str">
        <x:v>Codex</x:v>
      </x:c>
      <x:c r="N34" s="9" t="str">
        <x:v>No finance/contact tabs leaked; human labelling fails.</x:v>
      </x:c>
    </x:row>
    <x:row r="35">
      <x:c r="A35" s="9" t="str">
        <x:v>RUN-A-034</x:v>
      </x:c>
      <x:c r="B35" s="9" t="str">
        <x:v>NAV-004</x:v>
      </x:c>
      <x:c r="C35" s="9" t="str">
        <x:v>BASELINE</x:v>
      </x:c>
      <x:c r="D35" s="9" t="str">
        <x:v>1.2.2+155</x:v>
      </x:c>
      <x:c r="E35" s="9" t="str">
        <x:v>Admin / magic3</x:v>
      </x:c>
      <x:c r="F35" s="9" t="str">
        <x:v>Android API 35</x:v>
      </x:c>
      <x:c r="G35" s="9" t="str">
        <x:v>admin ceiling</x:v>
      </x:c>
      <x:c r="H35" s="9" t="str">
        <x:v>2026-08-06</x:v>
      </x:c>
      <x:c r="I35" s="9" t="str">
        <x:v>PASS</x:v>
      </x:c>
      <x:c r="J35" s="9" t="str">
        <x:v>Admin navigation contained exactly Chat, Schedule and Clients; Overview, Tasks, finance, analytics, settings and user administration were absent.</x:v>
      </x:c>
      <x:c r="K35" s="9" t="str">
        <x:v>evidence/android/admin-home.png</x:v>
      </x:c>
      <x:c r="L35" s="9" t="str"/>
      <x:c r="M35" s="9" t="str">
        <x:v>Codex</x:v>
      </x:c>
      <x:c r="N35" s="9" t="str">
        <x:v>Bottom navigation and drawer surface verified.</x:v>
      </x:c>
    </x:row>
    <x:row r="36">
      <x:c r="A36" s="9" t="str">
        <x:v>RUN-A-035</x:v>
      </x:c>
      <x:c r="B36" s="9" t="str">
        <x:v>NAV-005</x:v>
      </x:c>
      <x:c r="C36" s="9" t="str">
        <x:v>BASELINE</x:v>
      </x:c>
      <x:c r="D36" s="9" t="str">
        <x:v>1.2.2+155</x:v>
      </x:c>
      <x:c r="E36" s="9" t="str">
        <x:v>Manager / magic4</x:v>
      </x:c>
      <x:c r="F36" s="9" t="str">
        <x:v>Android API 35</x:v>
      </x:c>
      <x:c r="G36" s="9" t="str">
        <x:v>manager branch scope</x:v>
      </x:c>
      <x:c r="H36" s="9" t="str">
        <x:v>2026-08-06</x:v>
      </x:c>
      <x:c r="I36" s="9" t="str">
        <x:v>FAIL</x:v>
      </x:c>
      <x:c r="J36" s="9" t="str">
        <x:v>Manager received the operational workspace and no standalone Finance destination, but Overview exposed school-wide debt/balance analytics that are reserved for Director/system_admin.</x:v>
      </x:c>
      <x:c r="K36" s="9" t="str">
        <x:v>evidence/android/manager-overview.png</x:v>
      </x:c>
      <x:c r="L36" s="9" t="str">
        <x:v>ERR-006</x:v>
      </x:c>
      <x:c r="M36" s="9" t="str">
        <x:v>Codex</x:v>
      </x:c>
      <x:c r="N36" s="9" t="str">
        <x:v>Strict finance ceiling violated on the projected dashboard.</x:v>
      </x:c>
    </x:row>
    <x:row r="37">
      <x:c r="A37" s="9" t="str">
        <x:v>RUN-A-036</x:v>
      </x:c>
      <x:c r="B37" s="9" t="str">
        <x:v>ANA-001</x:v>
      </x:c>
      <x:c r="C37" s="9" t="str">
        <x:v>BASELINE</x:v>
      </x:c>
      <x:c r="D37" s="9" t="str">
        <x:v>1.2.2+155</x:v>
      </x:c>
      <x:c r="E37" s="9" t="str">
        <x:v>Manager / magic4</x:v>
      </x:c>
      <x:c r="F37" s="9" t="str">
        <x:v>Android API 35</x:v>
      </x:c>
      <x:c r="G37" s="9" t="str">
        <x:v>all permitted branches</x:v>
      </x:c>
      <x:c r="H37" s="9" t="str">
        <x:v>2026-08-06</x:v>
      </x:c>
      <x:c r="I37" s="9" t="str">
        <x:v>FAIL</x:v>
      </x:c>
      <x:c r="J37" s="9" t="str">
        <x:v>The unified dashboard loaded operational attention, client and task sections, but its capability projection incorrectly included school debt/balance cards for Manager.</x:v>
      </x:c>
      <x:c r="K37" s="9" t="str">
        <x:v>evidence/android/manager-overview.png</x:v>
      </x:c>
      <x:c r="L37" s="9" t="str">
        <x:v>ERR-006</x:v>
      </x:c>
      <x:c r="M37" s="9" t="str">
        <x:v>Codex</x:v>
      </x:c>
      <x:c r="N37" s="9" t="str">
        <x:v>One production dashboard confirmed; section projection is wrong.</x:v>
      </x:c>
    </x:row>
    <x:row r="38">
      <x:c r="A38" s="9" t="str">
        <x:v>RUN-A-037</x:v>
      </x:c>
      <x:c r="B38" s="9" t="str">
        <x:v>ANA-010</x:v>
      </x:c>
      <x:c r="C38" s="9" t="str">
        <x:v>BASELINE</x:v>
      </x:c>
      <x:c r="D38" s="9" t="str">
        <x:v>1.2.2+155</x:v>
      </x:c>
      <x:c r="E38" s="9" t="str">
        <x:v>Manager / magic4</x:v>
      </x:c>
      <x:c r="F38" s="9" t="str">
        <x:v>Android API 35</x:v>
      </x:c>
      <x:c r="G38" s="9" t="str">
        <x:v>hard deny</x:v>
      </x:c>
      <x:c r="H38" s="9" t="str">
        <x:v>2026-08-06</x:v>
      </x:c>
      <x:c r="I38" s="9" t="str">
        <x:v>FAIL</x:v>
      </x:c>
      <x:c r="J38" s="9" t="str">
        <x:v>Manager UI rendered `Ученики с долгом` and `Балансы` aggregates and made the debt row actionable; the section was not absent as required.</x:v>
      </x:c>
      <x:c r="K38" s="9" t="str">
        <x:v>evidence/android/manager-overview.png</x:v>
      </x:c>
      <x:c r="L38" s="9" t="str">
        <x:v>ERR-006</x:v>
      </x:c>
      <x:c r="M38" s="9" t="str">
        <x:v>Codex</x:v>
      </x:c>
      <x:c r="N38" s="9" t="str">
        <x:v>Network non-request still needs trace evidence, but the UI/provider projection already fails.</x:v>
      </x:c>
    </x:row>
    <x:row r="39">
      <x:c r="A39" s="9" t="str">
        <x:v>RUN-A-038</x:v>
      </x:c>
      <x:c r="B39" s="9" t="str">
        <x:v>TASK-001</x:v>
      </x:c>
      <x:c r="C39" s="9" t="str">
        <x:v>BASELINE</x:v>
      </x:c>
      <x:c r="D39" s="9" t="str">
        <x:v>1.2.2+155</x:v>
      </x:c>
      <x:c r="E39" s="9" t="str">
        <x:v>Manager / magic4</x:v>
      </x:c>
      <x:c r="F39" s="9" t="str">
        <x:v>Android API 35</x:v>
      </x:c>
      <x:c r="G39" s="9" t="str">
        <x:v>task.read</x:v>
      </x:c>
      <x:c r="H39" s="9" t="str">
        <x:v>2026-08-06</x:v>
      </x:c>
      <x:c r="I39" s="9" t="str">
        <x:v>PASS</x:v>
      </x:c>
      <x:c r="J39" s="9" t="str">
        <x:v>The canonical Tasks destination loaded the current open queue, overdue count, details/history affordance and one create action.</x:v>
      </x:c>
      <x:c r="K39" s="9" t="str">
        <x:v>evidence/android/manager-tasks.png</x:v>
      </x:c>
      <x:c r="L39" s="9" t="str"/>
      <x:c r="M39" s="9" t="str">
        <x:v>Codex</x:v>
      </x:c>
      <x:c r="N39" s="9" t="str">
        <x:v>Global task surface.</x:v>
      </x:c>
    </x:row>
    <x:row r="40">
      <x:c r="A40" s="9" t="str">
        <x:v>RUN-A-039</x:v>
      </x:c>
      <x:c r="B40" s="9" t="str">
        <x:v>TASK-002</x:v>
      </x:c>
      <x:c r="C40" s="9" t="str">
        <x:v>BASELINE</x:v>
      </x:c>
      <x:c r="D40" s="9" t="str">
        <x:v>1.2.2+155</x:v>
      </x:c>
      <x:c r="E40" s="9" t="str">
        <x:v>Manager / magic4</x:v>
      </x:c>
      <x:c r="F40" s="9" t="str">
        <x:v>Android API 35</x:v>
      </x:c>
      <x:c r="G40" s="9" t="str">
        <x:v>task.read</x:v>
      </x:c>
      <x:c r="H40" s="9" t="str">
        <x:v>2026-08-06</x:v>
      </x:c>
      <x:c r="I40" s="9" t="str">
        <x:v>PASS</x:v>
      </x:c>
      <x:c r="J40" s="9" t="str">
        <x:v>Entering зап preserved the field on every character; explicit search narrowed the list to matching tasks while keeping the current open-queue state.</x:v>
      </x:c>
      <x:c r="K40" s="9" t="str">
        <x:v>evidence/android/task-search-zap-applied.png</x:v>
      </x:c>
      <x:c r="L40" s="9" t="str"/>
      <x:c r="M40" s="9" t="str">
        <x:v>Codex</x:v>
      </x:c>
      <x:c r="N40" s="9" t="str">
        <x:v>Three input trees plus applied result.</x:v>
      </x:c>
    </x:row>
    <x:row r="41">
      <x:c r="A41" s="9" t="str">
        <x:v>RUN-A-040</x:v>
      </x:c>
      <x:c r="B41" s="9" t="str">
        <x:v>NAV-006</x:v>
      </x:c>
      <x:c r="C41" s="9" t="str">
        <x:v>BASELINE</x:v>
      </x:c>
      <x:c r="D41" s="9" t="str">
        <x:v>1.2.2+155</x:v>
      </x:c>
      <x:c r="E41" s="9" t="str">
        <x:v>Director / magic5</x:v>
      </x:c>
      <x:c r="F41" s="9" t="str">
        <x:v>Android API 35</x:v>
      </x:c>
      <x:c r="G41" s="9" t="str">
        <x:v>school scope</x:v>
      </x:c>
      <x:c r="H41" s="9" t="str">
        <x:v>2026-08-06</x:v>
      </x:c>
      <x:c r="I41" s="9" t="str">
        <x:v>FAIL</x:v>
      </x:c>
      <x:c r="J41" s="9" t="str">
        <x:v>Director received operational Overview/Schedule/Clients plus Tasks and Settings, and finance metrics were visible; however compact navigation exposed no Finance/Analytics destination and tapping revenue stayed on Overview. The header also called the Director dashboard `Сводка менеджера`.</x:v>
      </x:c>
      <x:c r="K41" s="9" t="str">
        <x:v>evidence/android/director-overview.png</x:v>
      </x:c>
      <x:c r="L41" s="9" t="str">
        <x:v>ERR-007; ERR-008</x:v>
      </x:c>
      <x:c r="M41" s="9" t="str">
        <x:v>Codex</x:v>
      </x:c>
      <x:c r="N41" s="9" t="str">
        <x:v>Desktop-only sparse tab targets resolve back to the current compact tab.</x:v>
      </x:c>
    </x:row>
    <x:row r="42">
      <x:c r="A42" s="9" t="str">
        <x:v>RUN-A-041</x:v>
      </x:c>
      <x:c r="B42" s="9" t="str">
        <x:v>ANA-002</x:v>
      </x:c>
      <x:c r="C42" s="9" t="str">
        <x:v>BASELINE</x:v>
      </x:c>
      <x:c r="D42" s="9" t="str">
        <x:v>1.2.2+155</x:v>
      </x:c>
      <x:c r="E42" s="9" t="str">
        <x:v>Director / magic5</x:v>
      </x:c>
      <x:c r="F42" s="9" t="str">
        <x:v>Android API 35</x:v>
      </x:c>
      <x:c r="G42" s="9" t="str">
        <x:v>school scope</x:v>
      </x:c>
      <x:c r="H42" s="9" t="str">
        <x:v>2026-08-06</x:v>
      </x:c>
      <x:c r="I42" s="9" t="str">
        <x:v>PASS</x:v>
      </x:c>
      <x:c r="J42" s="9" t="str">
        <x:v>Switching Month to 7 days updated the normalized visible window from 1–6 August to 31 July–6 August while retaining dashboard state.</x:v>
      </x:c>
      <x:c r="K42" s="9" t="str">
        <x:v>evidence/android/director-overview-week.png</x:v>
      </x:c>
      <x:c r="L42" s="9" t="str"/>
      <x:c r="M42" s="9" t="str">
        <x:v>Codex</x:v>
      </x:c>
      <x:c r="N42" s="9" t="str">
        <x:v>Period selection and label verified.</x:v>
      </x:c>
    </x:row>
    <x:row r="43">
      <x:c r="A43" s="9" t="str">
        <x:v>RUN-A-042</x:v>
      </x:c>
      <x:c r="B43" s="9" t="str">
        <x:v>ANA-003</x:v>
      </x:c>
      <x:c r="C43" s="9" t="str">
        <x:v>BASELINE</x:v>
      </x:c>
      <x:c r="D43" s="9" t="str">
        <x:v>1.2.2+155</x:v>
      </x:c>
      <x:c r="E43" s="9" t="str">
        <x:v>Director / magic5</x:v>
      </x:c>
      <x:c r="F43" s="9" t="str">
        <x:v>Android API 35</x:v>
      </x:c>
      <x:c r="G43" s="9" t="str">
        <x:v>school scope</x:v>
      </x:c>
      <x:c r="H43" s="9" t="str">
        <x:v>2026-08-06</x:v>
      </x:c>
      <x:c r="I43" s="9" t="str">
        <x:v>PASS</x:v>
      </x:c>
      <x:c r="J43" s="9" t="str">
        <x:v>Selecting Sokol updated the visible branch scope and exposed an explicit All branches reset without leaving the dashboard.</x:v>
      </x:c>
      <x:c r="K43" s="9" t="str">
        <x:v>evidence/android/director-overview-sokol.png</x:v>
      </x:c>
      <x:c r="L43" s="9" t="str"/>
      <x:c r="M43" s="9" t="str">
        <x:v>Codex</x:v>
      </x:c>
      <x:c r="N43" s="9" t="str">
        <x:v>Branch selector choices and applied label verified.</x:v>
      </x:c>
    </x:row>
    <x:row r="44">
      <x:c r="A44" s="9" t="str">
        <x:v>RUN-A-043</x:v>
      </x:c>
      <x:c r="B44" s="9" t="str">
        <x:v>ANA-009</x:v>
      </x:c>
      <x:c r="C44" s="9" t="str">
        <x:v>BASELINE</x:v>
      </x:c>
      <x:c r="D44" s="9" t="str">
        <x:v>1.2.2+155</x:v>
      </x:c>
      <x:c r="E44" s="9" t="str">
        <x:v>Director / magic5</x:v>
      </x:c>
      <x:c r="F44" s="9" t="str">
        <x:v>Android API 35</x:v>
      </x:c>
      <x:c r="G44" s="9" t="str">
        <x:v>school scope</x:v>
      </x:c>
      <x:c r="H44" s="9" t="str">
        <x:v>2026-08-06</x:v>
      </x:c>
      <x:c r="I44" s="9" t="str">
        <x:v>PASS</x:v>
      </x:c>
      <x:c r="J44" s="9" t="str">
        <x:v>Director dashboard displayed revenue, expected payments and debtor metrics under the selected period/branch; the compact drilldown defect is tracked under NAV-006/ERR-007.</x:v>
      </x:c>
      <x:c r="K44" s="9" t="str">
        <x:v>evidence/android/director-overview-sokol.png</x:v>
      </x:c>
      <x:c r="L44" s="9" t="str"/>
      <x:c r="M44" s="9" t="str">
        <x:v>Codex</x:v>
      </x:c>
      <x:c r="N44" s="9" t="str">
        <x:v>Role visibility passes independently of compact destination usability.</x:v>
      </x:c>
    </x:row>
    <x:row r="45">
      <x:c r="A45" s="9" t="str">
        <x:v>RUN-A-044</x:v>
      </x:c>
      <x:c r="B45" s="9" t="str">
        <x:v>CFG-001</x:v>
      </x:c>
      <x:c r="C45" s="9" t="str">
        <x:v>BASELINE</x:v>
      </x:c>
      <x:c r="D45" s="9" t="str">
        <x:v>1.2.2+155</x:v>
      </x:c>
      <x:c r="E45" s="9" t="str">
        <x:v>Director / magic5</x:v>
      </x:c>
      <x:c r="F45" s="9" t="str">
        <x:v>Android API 35</x:v>
      </x:c>
      <x:c r="G45" s="9" t="str">
        <x:v>settings read</x:v>
      </x:c>
      <x:c r="H45" s="9" t="str">
        <x:v>2026-08-06</x:v>
      </x:c>
      <x:c r="I45" s="9" t="str">
        <x:v>PASS</x:v>
      </x:c>
      <x:c r="J45" s="9" t="str">
        <x:v>The Settings selector exposed six clearly named areas: Organization, Schedule, CRM, Sales/Payments, Users/Access and Data/Maintenance, each loading its own capability-projected workspace.</x:v>
      </x:c>
      <x:c r="K45" s="9" t="str">
        <x:v>evidence/android/director-settings-section-menu.png</x:v>
      </x:c>
      <x:c r="L45" s="9" t="str"/>
      <x:c r="M45" s="9" t="str">
        <x:v>Codex</x:v>
      </x:c>
      <x:c r="N45" s="9" t="str">
        <x:v>All six sections opened during the same run.</x:v>
      </x:c>
    </x:row>
    <x:row r="46">
      <x:c r="A46" s="9" t="str">
        <x:v>RUN-A-045</x:v>
      </x:c>
      <x:c r="B46" s="9" t="str">
        <x:v>CFG-005</x:v>
      </x:c>
      <x:c r="C46" s="9" t="str">
        <x:v>BASELINE</x:v>
      </x:c>
      <x:c r="D46" s="9" t="str">
        <x:v>1.2.2+155</x:v>
      </x:c>
      <x:c r="E46" s="9" t="str">
        <x:v>Director / magic5</x:v>
      </x:c>
      <x:c r="F46" s="9" t="str">
        <x:v>Android API 35</x:v>
      </x:c>
      <x:c r="G46" s="9" t="str">
        <x:v>organization read</x:v>
      </x:c>
      <x:c r="H46" s="9" t="str">
        <x:v>2026-08-06</x:v>
      </x:c>
      <x:c r="I46" s="9" t="str">
        <x:v>PASS</x:v>
      </x:c>
      <x:c r="J46" s="9" t="str">
        <x:v>Rooms loaded as branch-labelled records with capacity and a dedicated create action, separate from the Branch list.</x:v>
      </x:c>
      <x:c r="K46" s="9" t="str">
        <x:v>evidence/android/settings-rooms.png</x:v>
      </x:c>
      <x:c r="L46" s="9" t="str"/>
      <x:c r="M46" s="9" t="str">
        <x:v>Codex</x:v>
      </x:c>
      <x:c r="N46" s="9" t="str">
        <x:v>Sokol rooms visible.</x:v>
      </x:c>
    </x:row>
    <x:row r="47">
      <x:c r="A47" s="9" t="str">
        <x:v>RUN-A-046</x:v>
      </x:c>
      <x:c r="B47" s="9" t="str">
        <x:v>CFG-009</x:v>
      </x:c>
      <x:c r="C47" s="9" t="str">
        <x:v>BASELINE</x:v>
      </x:c>
      <x:c r="D47" s="9" t="str">
        <x:v>1.2.2+155</x:v>
      </x:c>
      <x:c r="E47" s="9" t="str">
        <x:v>Director / magic5</x:v>
      </x:c>
      <x:c r="F47" s="9" t="str">
        <x:v>Android API 35</x:v>
      </x:c>
      <x:c r="G47" s="9" t="str">
        <x:v>group read</x:v>
      </x:c>
      <x:c r="H47" s="9" t="str">
        <x:v>2026-08-06</x:v>
      </x:c>
      <x:c r="I47" s="9" t="str">
        <x:v>FAIL</x:v>
      </x:c>
      <x:c r="J47" s="9" t="str">
        <x:v>The branch-scoped Group list loaded human names and teacher/branch labels, but omitted the required Student count on every card.</x:v>
      </x:c>
      <x:c r="K47" s="9" t="str">
        <x:v>evidence/android/settings-groups.png</x:v>
      </x:c>
      <x:c r="L47" s="9" t="str">
        <x:v>ERR-010</x:v>
      </x:c>
      <x:c r="M47" s="9" t="str">
        <x:v>Codex</x:v>
      </x:c>
      <x:c r="N47" s="9" t="str">
        <x:v>No count appears in visual or accessibility text.</x:v>
      </x:c>
    </x:row>
    <x:row r="48">
      <x:c r="A48" s="9" t="str">
        <x:v>RUN-A-047</x:v>
      </x:c>
      <x:c r="B48" s="9" t="str">
        <x:v>CFG-016</x:v>
      </x:c>
      <x:c r="C48" s="9" t="str">
        <x:v>BASELINE</x:v>
      </x:c>
      <x:c r="D48" s="9" t="str">
        <x:v>1.2.2+155</x:v>
      </x:c>
      <x:c r="E48" s="9" t="str">
        <x:v>Director / magic5</x:v>
      </x:c>
      <x:c r="F48" s="9" t="str">
        <x:v>Android API 35</x:v>
      </x:c>
      <x:c r="G48" s="9" t="str">
        <x:v>config.crm.edit</x:v>
      </x:c>
      <x:c r="H48" s="9" t="str">
        <x:v>2026-08-06</x:v>
      </x:c>
      <x:c r="I48" s="9" t="str">
        <x:v>PASS</x:v>
      </x:c>
      <x:c r="J48" s="9" t="str">
        <x:v>Reusable option sets were centralized under `Варианты для полей`; opening a set showed one ordered list of variants and one Edit action, separate from field definitions.</x:v>
      </x:c>
      <x:c r="K48" s="9" t="str">
        <x:v>evidence/android/settings-option-set-editor.png</x:v>
      </x:c>
      <x:c r="L48" s="9" t="str"/>
      <x:c r="M48" s="9" t="str">
        <x:v>Codex</x:v>
      </x:c>
      <x:c r="N48" s="9" t="str">
        <x:v>Matches the owner-approved variants consolidation.</x:v>
      </x:c>
    </x:row>
    <x:row r="49">
      <x:c r="A49" s="9" t="str">
        <x:v>RUN-A-048</x:v>
      </x:c>
      <x:c r="B49" s="9" t="str">
        <x:v>CFG-020</x:v>
      </x:c>
      <x:c r="C49" s="9" t="str">
        <x:v>BASELINE</x:v>
      </x:c>
      <x:c r="D49" s="9" t="str">
        <x:v>1.2.2+155</x:v>
      </x:c>
      <x:c r="E49" s="9" t="str">
        <x:v>Director / magic5</x:v>
      </x:c>
      <x:c r="F49" s="9" t="str">
        <x:v>Android API 35</x:v>
      </x:c>
      <x:c r="G49" s="9" t="str">
        <x:v>config.crm.edit</x:v>
      </x:c>
      <x:c r="H49" s="9" t="str">
        <x:v>2026-08-06</x:v>
      </x:c>
      <x:c r="I49" s="9" t="str">
        <x:v>PASS</x:v>
      </x:c>
      <x:c r="J49" s="9" t="str">
        <x:v>Business parameters showed only two allowlisted numeric settings with units: default lesson duration and payment reminder days.</x:v>
      </x:c>
      <x:c r="K49" s="9" t="str">
        <x:v>evidence/android/settings-business-params.png</x:v>
      </x:c>
      <x:c r="L49" s="9" t="str"/>
      <x:c r="M49" s="9" t="str">
        <x:v>Codex</x:v>
      </x:c>
      <x:c r="N49" s="9" t="str">
        <x:v>No arbitrary key/value editor exposed.</x:v>
      </x:c>
    </x:row>
    <x:row r="50">
      <x:c r="A50" s="9" t="str">
        <x:v>RUN-A-049</x:v>
      </x:c>
      <x:c r="B50" s="9" t="str">
        <x:v>COM-001</x:v>
      </x:c>
      <x:c r="C50" s="9" t="str">
        <x:v>BASELINE</x:v>
      </x:c>
      <x:c r="D50" s="9" t="str">
        <x:v>1.2.2+155</x:v>
      </x:c>
      <x:c r="E50" s="9" t="str">
        <x:v>Director / magic5</x:v>
      </x:c>
      <x:c r="F50" s="9" t="str">
        <x:v>Android API 35</x:v>
      </x:c>
      <x:c r="G50" s="9" t="str">
        <x:v>commerce.package.read</x:v>
      </x:c>
      <x:c r="H50" s="9" t="str">
        <x:v>2026-08-06</x:v>
      </x:c>
      <x:c r="I50" s="9" t="str">
        <x:v>PASS</x:v>
      </x:c>
      <x:c r="J50" s="9" t="str">
        <x:v>Sales/Payments loaded the package catalog with name, units, price, duration and active state plus explicit archive action.</x:v>
      </x:c>
      <x:c r="K50" s="9" t="str">
        <x:v>evidence/android/settings-crm.png</x:v>
      </x:c>
      <x:c r="L50" s="9" t="str"/>
      <x:c r="M50" s="9" t="str">
        <x:v>Codex</x:v>
      </x:c>
      <x:c r="N50" s="9" t="str">
        <x:v>Seeded 8-hour Piano offer.</x:v>
      </x:c>
    </x:row>
    <x:row r="51">
      <x:c r="A51" s="9" t="str">
        <x:v>RUN-A-050</x:v>
      </x:c>
      <x:c r="B51" s="9" t="str">
        <x:v>CFG-025</x:v>
      </x:c>
      <x:c r="C51" s="9" t="str">
        <x:v>BASELINE</x:v>
      </x:c>
      <x:c r="D51" s="9" t="str">
        <x:v>1.2.2+155</x:v>
      </x:c>
      <x:c r="E51" s="9" t="str">
        <x:v>Director / magic5</x:v>
      </x:c>
      <x:c r="F51" s="9" t="str">
        <x:v>Android API 35</x:v>
      </x:c>
      <x:c r="G51" s="9" t="str">
        <x:v>people manage</x:v>
      </x:c>
      <x:c r="H51" s="9" t="str">
        <x:v>2026-08-06</x:v>
      </x:c>
      <x:c r="I51" s="9" t="str">
        <x:v>FAIL</x:v>
      </x:c>
      <x:c r="J51" s="9" t="str">
        <x:v>Employees loaded in scope, but test staff displayed raw `working` while a no-account migrated employee exposed `hollihop-staff-assignee-7512@migration.invalid` beside `Без аккаунта`.</x:v>
      </x:c>
      <x:c r="K51" s="9" t="str">
        <x:v>evidence/android/settings-employees.png</x:v>
      </x:c>
      <x:c r="L51" s="9" t="str">
        <x:v>ERR-009</x:v>
      </x:c>
      <x:c r="M51" s="9" t="str">
        <x:v>Codex</x:v>
      </x:c>
      <x:c r="N51" s="9" t="str">
        <x:v>Technical placeholder/status leak into business UI.</x:v>
      </x:c>
    </x:row>
    <x:row r="52">
      <x:c r="A52" s="9" t="str">
        <x:v>RUN-A-051</x:v>
      </x:c>
      <x:c r="B52" s="9" t="str">
        <x:v>CFG-026</x:v>
      </x:c>
      <x:c r="C52" s="9" t="str">
        <x:v>BASELINE</x:v>
      </x:c>
      <x:c r="D52" s="9" t="str">
        <x:v>1.2.2+155</x:v>
      </x:c>
      <x:c r="E52" s="9" t="str">
        <x:v>Director / magic5</x:v>
      </x:c>
      <x:c r="F52" s="9" t="str">
        <x:v>Android API 35</x:v>
      </x:c>
      <x:c r="G52" s="9" t="str">
        <x:v>people manage</x:v>
      </x:c>
      <x:c r="H52" s="9" t="str">
        <x:v>2026-08-06</x:v>
      </x:c>
      <x:c r="I52" s="9" t="str">
        <x:v>PASS</x:v>
      </x:c>
      <x:c r="J52" s="9" t="str">
        <x:v>Teachers loaded with specialization, branch, Student count, Lesson count and linked-account state in human-readable cards.</x:v>
      </x:c>
      <x:c r="K52" s="9" t="str">
        <x:v>evidence/android/settings-teachers.png</x:v>
      </x:c>
      <x:c r="L52" s="9" t="str"/>
      <x:c r="M52" s="9" t="str">
        <x:v>Codex</x:v>
      </x:c>
      <x:c r="N52" s="9" t="str">
        <x:v>Read surface verified.</x:v>
      </x:c>
    </x:row>
    <x:row r="53">
      <x:c r="A53" s="9" t="str">
        <x:v>RUN-A-052</x:v>
      </x:c>
      <x:c r="B53" s="9" t="str">
        <x:v>CFG-027</x:v>
      </x:c>
      <x:c r="C53" s="9" t="str">
        <x:v>BASELINE</x:v>
      </x:c>
      <x:c r="D53" s="9" t="str">
        <x:v>1.2.2+155</x:v>
      </x:c>
      <x:c r="E53" s="9" t="str">
        <x:v>Director / magic5</x:v>
      </x:c>
      <x:c r="F53" s="9" t="str">
        <x:v>Android API 35</x:v>
      </x:c>
      <x:c r="G53" s="9" t="str">
        <x:v>access manage</x:v>
      </x:c>
      <x:c r="H53" s="9" t="str">
        <x:v>2026-08-06</x:v>
      </x:c>
      <x:c r="I53" s="9" t="str">
        <x:v>PASS</x:v>
      </x:c>
      <x:c r="J53" s="9" t="str">
        <x:v>For Manager magic4 the Director role selector offered only Client, Teacher, Admin and Manager; Director/system_admin were absent and hard-denied role/personal-right switches were disabled.</x:v>
      </x:c>
      <x:c r="K53" s="9" t="str">
        <x:v>evidence/android/access-role-options.png</x:v>
      </x:c>
      <x:c r="L53" s="9" t="str"/>
      <x:c r="M53" s="9" t="str">
        <x:v>Codex</x:v>
      </x:c>
      <x:c r="N53" s="9" t="str">
        <x:v>Read-only inspection; no role mutation performed.</x:v>
      </x:c>
    </x:row>
    <x:row r="54">
      <x:c r="A54" s="9" t="str">
        <x:v>RUN-A-053</x:v>
      </x:c>
      <x:c r="B54" s="9" t="str">
        <x:v>CFG-031</x:v>
      </x:c>
      <x:c r="C54" s="9" t="str">
        <x:v>BASELINE</x:v>
      </x:c>
      <x:c r="D54" s="9" t="str">
        <x:v>1.2.2+155</x:v>
      </x:c>
      <x:c r="E54" s="9" t="str">
        <x:v>Director / magic5</x:v>
      </x:c>
      <x:c r="F54" s="9" t="str">
        <x:v>Android API 35</x:v>
      </x:c>
      <x:c r="G54" s="9" t="str">
        <x:v>maintenance</x:v>
      </x:c>
      <x:c r="H54" s="9" t="str">
        <x:v>2026-08-06</x:v>
      </x:c>
      <x:c r="I54" s="9" t="str">
        <x:v>PASS</x:v>
      </x:c>
      <x:c r="J54" s="9" t="str">
        <x:v>Data Quality showed actionable phone-review and duplicate-lead queues with impact counts and an explicit merge action.</x:v>
      </x:c>
      <x:c r="K54" s="9" t="str">
        <x:v>evidence/android/settings-maintenance.png</x:v>
      </x:c>
      <x:c r="L54" s="9" t="str"/>
      <x:c r="M54" s="9" t="str">
        <x:v>Codex</x:v>
      </x:c>
      <x:c r="N54" s="9" t="str">
        <x:v>No mutation executed during baseline.</x:v>
      </x:c>
    </x:row>
    <x:row r="55">
      <x:c r="A55" s="9" t="str">
        <x:v>RUN-A-054</x:v>
      </x:c>
      <x:c r="B55" s="9" t="str">
        <x:v>CFG-032</x:v>
      </x:c>
      <x:c r="C55" s="9" t="str">
        <x:v>BASELINE</x:v>
      </x:c>
      <x:c r="D55" s="9" t="str">
        <x:v>1.2.2+155</x:v>
      </x:c>
      <x:c r="E55" s="9" t="str">
        <x:v>Director / magic5</x:v>
      </x:c>
      <x:c r="F55" s="9" t="str">
        <x:v>Android API 35</x:v>
      </x:c>
      <x:c r="G55" s="9" t="str">
        <x:v>account deletion admin</x:v>
      </x:c>
      <x:c r="H55" s="9" t="str">
        <x:v>2026-08-06</x:v>
      </x:c>
      <x:c r="I55" s="9" t="str">
        <x:v>PASS</x:v>
      </x:c>
      <x:c r="J55" s="9" t="str">
        <x:v>Deletion Requests provided status filters and an honest empty state when no requests existed.</x:v>
      </x:c>
      <x:c r="K55" s="9" t="str">
        <x:v>evidence/android/settings-deletion-requests.png</x:v>
      </x:c>
      <x:c r="L55" s="9" t="str"/>
      <x:c r="M55" s="9" t="str">
        <x:v>Codex</x:v>
      </x:c>
      <x:c r="N55" s="9" t="str">
        <x:v>All/Oжидает/В работе/Выполнен/Отклонён filters visible.</x:v>
      </x:c>
    </x:row>
    <x:row r="56">
      <x:c r="A56" s="9" t="str">
        <x:v>RUN-A-055</x:v>
      </x:c>
      <x:c r="B56" s="9" t="str">
        <x:v>NAV-018</x:v>
      </x:c>
      <x:c r="C56" s="9" t="str">
        <x:v>BASELINE</x:v>
      </x:c>
      <x:c r="D56" s="9" t="str">
        <x:v>1.2.2+155</x:v>
      </x:c>
      <x:c r="E56" s="9" t="str">
        <x:v>Director / magic5</x:v>
      </x:c>
      <x:c r="F56" s="9" t="str">
        <x:v>Android API 35</x:v>
      </x:c>
      <x:c r="G56" s="9" t="str">
        <x:v>accessibility</x:v>
      </x:c>
      <x:c r="H56" s="9" t="str">
        <x:v>2026-08-06</x:v>
      </x:c>
      <x:c r="I56" s="9" t="str">
        <x:v>FAIL</x:v>
      </x:c>
      <x:c r="J56" s="9" t="str">
        <x:v>Settings contained multiple accessibility nodes without labels: empty EditText search fields and day switches exposed only as generic Switch controls.</x:v>
      </x:c>
      <x:c r="K56" s="9" t="str">
        <x:v>evidence/android/settings-schedule2-ui.xml</x:v>
      </x:c>
      <x:c r="L56" s="9" t="str">
        <x:v>ERR-011</x:v>
      </x:c>
      <x:c r="M56" s="9" t="str">
        <x:v>Codex</x:v>
      </x:c>
      <x:c r="N56" s="9" t="str">
        <x:v>UIAutomator accessibility tree is the evidence.</x:v>
      </x:c>
    </x:row>
    <x:row r="57">
      <x:c r="A57" s="9" t="str">
        <x:v>RUN-G-001</x:v>
      </x:c>
      <x:c r="B57" s="9" t="str">
        <x:v>AUTH-001</x:v>
      </x:c>
      <x:c r="C57" s="9" t="str">
        <x:v>REGRESSION</x:v>
      </x:c>
      <x:c r="D57" s="9" t="str">
        <x:v>1.2.3+156</x:v>
      </x:c>
      <x:c r="E57" s="9" t="str">
        <x:v>пользователь</x:v>
      </x:c>
      <x:c r="F57" s="9" t="str">
        <x:v>Flutter</x:v>
      </x:c>
      <x:c r="G57" s="9" t="str">
        <x:v>all</x:v>
      </x:c>
      <x:c r="H57" s="9" t="str">
        <x:v>2026-08-06</x:v>
      </x:c>
      <x:c r="I57" s="9" t="str">
        <x:v>PASS</x:v>
      </x:c>
      <x:c r="J57" s="9" t="str">
        <x:v>Post-fix acceptance passed for Cold start gate: 1 exact named test(s) matched and passed on build 1.2.3+156.</x:v>
      </x:c>
      <x:c r="K57" s="9" t="str">
        <x:v>evidence/flutter-test-machine-final-156.ndjson</x:v>
      </x:c>
      <x:c r="L57" s="9" t="str"/>
      <x:c r="M57" s="9" t="str">
        <x:v>Codex</x:v>
      </x:c>
      <x:c r="N57" s="9" t="str">
        <x:v>Flutter: test/core/router/app_router_test.dart :: routerProvider keeps one GoRouter across auth and gate updates</x:v>
      </x:c>
    </x:row>
    <x:row r="58">
      <x:c r="A58" s="9" t="str">
        <x:v>RUN-G-002</x:v>
      </x:c>
      <x:c r="B58" s="9" t="str">
        <x:v>AUTH-002</x:v>
      </x:c>
      <x:c r="C58" s="9" t="str">
        <x:v>REGRESSION</x:v>
      </x:c>
      <x:c r="D58" s="9" t="str">
        <x:v>1.2.3+156</x:v>
      </x:c>
      <x:c r="E58" s="9" t="str">
        <x:v>ранее вошедший пользователь</x:v>
      </x:c>
      <x:c r="F58" s="9" t="str">
        <x:v>Flutter</x:v>
      </x:c>
      <x:c r="G58" s="9" t="str">
        <x:v>current account</x:v>
      </x:c>
      <x:c r="H58" s="9" t="str">
        <x:v>2026-08-06</x:v>
      </x:c>
      <x:c r="I58" s="9" t="str">
        <x:v>PASS</x:v>
      </x:c>
      <x:c r="J58" s="9" t="str">
        <x:v>Post-fix acceptance passed for Resume valid session: 1 exact named test(s) matched and passed on build 1.2.3+156.</x:v>
      </x:c>
      <x:c r="K58" s="9" t="str">
        <x:v>evidence/flutter-test-machine-final-156.ndjson</x:v>
      </x:c>
      <x:c r="L58" s="9" t="str"/>
      <x:c r="M58" s="9" t="str">
        <x:v>Codex</x:v>
      </x:c>
      <x:c r="N58" s="9" t="str">
        <x:v>Flutter: test/features/auth/magic_auth_service_test.dart :: MagicAuthService login saves v3 session and emits auth state</x:v>
      </x:c>
    </x:row>
    <x:row r="59">
      <x:c r="A59" s="9" t="str">
        <x:v>RUN-G-003</x:v>
      </x:c>
      <x:c r="B59" s="9" t="str">
        <x:v>AUTH-003</x:v>
      </x:c>
      <x:c r="C59" s="9" t="str">
        <x:v>REGRESSION</x:v>
      </x:c>
      <x:c r="D59" s="9" t="str">
        <x:v>1.2.3+156</x:v>
      </x:c>
      <x:c r="E59" s="9" t="str">
        <x:v>пользователь с истёкшей сессией</x:v>
      </x:c>
      <x:c r="F59" s="9" t="str">
        <x:v>Flutter</x:v>
      </x:c>
      <x:c r="G59" s="9" t="str">
        <x:v>current account</x:v>
      </x:c>
      <x:c r="H59" s="9" t="str">
        <x:v>2026-08-06</x:v>
      </x:c>
      <x:c r="I59" s="9" t="str">
        <x:v>PASS</x:v>
      </x:c>
      <x:c r="J59" s="9" t="str">
        <x:v>Post-fix acceptance passed for Reject stale session: 1 exact named test(s) matched and passed on build 1.2.3+156.</x:v>
      </x:c>
      <x:c r="K59" s="9" t="str">
        <x:v>evidence/flutter-test-machine-final-156.ndjson</x:v>
      </x:c>
      <x:c r="L59" s="9" t="str"/>
      <x:c r="M59" s="9" t="str">
        <x:v>Codex</x:v>
      </x:c>
      <x:c r="N59" s="9" t="str">
        <x:v>Flutter: test/core/router/app_router_test.dart :: stale gate 401 does not belong to a new session</x:v>
      </x:c>
    </x:row>
    <x:row r="60">
      <x:c r="A60" s="9" t="str">
        <x:v>RUN-G-004</x:v>
      </x:c>
      <x:c r="B60" s="9" t="str">
        <x:v>AUTH-004</x:v>
      </x:c>
      <x:c r="C60" s="9" t="str">
        <x:v>REGRESSION</x:v>
      </x:c>
      <x:c r="D60" s="9" t="str">
        <x:v>1.2.3+156</x:v>
      </x:c>
      <x:c r="E60" s="9" t="str">
        <x:v>пользователь</x:v>
      </x:c>
      <x:c r="F60" s="9" t="str">
        <x:v>Flutter</x:v>
      </x:c>
      <x:c r="G60" s="9" t="str">
        <x:v>self</x:v>
      </x:c>
      <x:c r="H60" s="9" t="str">
        <x:v>2026-08-06</x:v>
      </x:c>
      <x:c r="I60" s="9" t="str">
        <x:v>PASS</x:v>
      </x:c>
      <x:c r="J60" s="9" t="str">
        <x:v>Post-fix acceptance passed for Password login: 1 exact named test(s) matched and passed on build 1.2.3+156.</x:v>
      </x:c>
      <x:c r="K60" s="9" t="str">
        <x:v>evidence/flutter-test-machine-final-156.ndjson</x:v>
      </x:c>
      <x:c r="L60" s="9" t="str"/>
      <x:c r="M60" s="9" t="str">
        <x:v>Codex</x:v>
      </x:c>
      <x:c r="N60" s="9" t="str">
        <x:v>Flutter: test/features/auth/magic_auth_service_test.dart :: MagicAuthService login saves v3 session and emits auth state</x:v>
      </x:c>
    </x:row>
    <x:row r="61">
      <x:c r="A61" s="9" t="str">
        <x:v>RUN-G-005</x:v>
      </x:c>
      <x:c r="B61" s="9" t="str">
        <x:v>AUTH-005</x:v>
      </x:c>
      <x:c r="C61" s="9" t="str">
        <x:v>REGRESSION</x:v>
      </x:c>
      <x:c r="D61" s="9" t="str">
        <x:v>1.2.3+156</x:v>
      </x:c>
      <x:c r="E61" s="9" t="str">
        <x:v>пользователь</x:v>
      </x:c>
      <x:c r="F61" s="9" t="str">
        <x:v>Flutter</x:v>
      </x:c>
      <x:c r="G61" s="9" t="str">
        <x:v>self</x:v>
      </x:c>
      <x:c r="H61" s="9" t="str">
        <x:v>2026-08-06</x:v>
      </x:c>
      <x:c r="I61" s="9" t="str">
        <x:v>PASS</x:v>
      </x:c>
      <x:c r="J61" s="9" t="str">
        <x:v>Post-fix acceptance passed for Invalid credentials: 1 exact named test(s) matched and passed on build 1.2.3+156.</x:v>
      </x:c>
      <x:c r="K61" s="9" t="str">
        <x:v>evidence/flutter-test-machine-final-156.ndjson</x:v>
      </x:c>
      <x:c r="L61" s="9" t="str"/>
      <x:c r="M61" s="9" t="str">
        <x:v>Codex</x:v>
      </x:c>
      <x:c r="N61" s="9" t="str">
        <x:v>Flutter: test/features/auth/relogin_after_logout_test.dart :: login error keeps credentials and permits a retry</x:v>
      </x:c>
    </x:row>
    <x:row r="62">
      <x:c r="A62" s="9" t="str">
        <x:v>RUN-G-006</x:v>
      </x:c>
      <x:c r="B62" s="9" t="str">
        <x:v>AUTH-006</x:v>
      </x:c>
      <x:c r="C62" s="9" t="str">
        <x:v>REGRESSION</x:v>
      </x:c>
      <x:c r="D62" s="9" t="str">
        <x:v>1.2.3+156</x:v>
      </x:c>
      <x:c r="E62" s="9" t="str">
        <x:v>пользователь</x:v>
      </x:c>
      <x:c r="F62" s="9" t="str">
        <x:v>Flutter</x:v>
      </x:c>
      <x:c r="G62" s="9" t="str">
        <x:v>self</x:v>
      </x:c>
      <x:c r="H62" s="9" t="str">
        <x:v>2026-08-06</x:v>
      </x:c>
      <x:c r="I62" s="9" t="str">
        <x:v>PASS</x:v>
      </x:c>
      <x:c r="J62" s="9" t="str">
        <x:v>Post-fix acceptance passed for Repeated login: 1 exact named test(s) matched and passed on build 1.2.3+156.</x:v>
      </x:c>
      <x:c r="K62" s="9" t="str">
        <x:v>evidence/flutter-test-machine-final-156.ndjson</x:v>
      </x:c>
      <x:c r="L62" s="9" t="str"/>
      <x:c r="M62" s="9" t="str">
        <x:v>Codex</x:v>
      </x:c>
      <x:c r="N62" s="9" t="str">
        <x:v>Flutter: test/features/auth/relogin_after_logout_test.dart :: magicAuthStateProvider reflects the session after logout→login</x:v>
      </x:c>
    </x:row>
    <x:row r="63">
      <x:c r="A63" s="9" t="str">
        <x:v>RUN-G-007</x:v>
      </x:c>
      <x:c r="B63" s="9" t="str">
        <x:v>AUTH-007</x:v>
      </x:c>
      <x:c r="C63" s="9" t="str">
        <x:v>REGRESSION</x:v>
      </x:c>
      <x:c r="D63" s="9" t="str">
        <x:v>1.2.3+156</x:v>
      </x:c>
      <x:c r="E63" s="9" t="str">
        <x:v>пользователь</x:v>
      </x:c>
      <x:c r="F63" s="9" t="str">
        <x:v>Flutter</x:v>
      </x:c>
      <x:c r="G63" s="9" t="str">
        <x:v>account isolation</x:v>
      </x:c>
      <x:c r="H63" s="9" t="str">
        <x:v>2026-08-06</x:v>
      </x:c>
      <x:c r="I63" s="9" t="str">
        <x:v>PASS</x:v>
      </x:c>
      <x:c r="J63" s="9" t="str">
        <x:v>Post-fix acceptance passed for Switch account: 1 exact named test(s) matched and passed on build 1.2.3+156.</x:v>
      </x:c>
      <x:c r="K63" s="9" t="str">
        <x:v>evidence/flutter-test-machine-final-156.ndjson</x:v>
      </x:c>
      <x:c r="L63" s="9" t="str"/>
      <x:c r="M63" s="9" t="str">
        <x:v>Codex</x:v>
      </x:c>
      <x:c r="N63" s="9" t="str">
        <x:v>Flutter: test/features/v4/workspace_persistence_logout_test.dart :: account namespace prevents cross-account restore</x:v>
      </x:c>
    </x:row>
    <x:row r="64">
      <x:c r="A64" s="9" t="str">
        <x:v>RUN-G-008</x:v>
      </x:c>
      <x:c r="B64" s="9" t="str">
        <x:v>AUTH-008</x:v>
      </x:c>
      <x:c r="C64" s="9" t="str">
        <x:v>REGRESSION</x:v>
      </x:c>
      <x:c r="D64" s="9" t="str">
        <x:v>1.2.3+156</x:v>
      </x:c>
      <x:c r="E64" s="9" t="str">
        <x:v>вошедший пользователь</x:v>
      </x:c>
      <x:c r="F64" s="9" t="str">
        <x:v>Flutter</x:v>
      </x:c>
      <x:c r="G64" s="9" t="str">
        <x:v>self</x:v>
      </x:c>
      <x:c r="H64" s="9" t="str">
        <x:v>2026-08-06</x:v>
      </x:c>
      <x:c r="I64" s="9" t="str">
        <x:v>PASS</x:v>
      </x:c>
      <x:c r="J64" s="9" t="str">
        <x:v>Post-fix acceptance passed for Logout: 1 exact named test(s) matched and passed on build 1.2.3+156.</x:v>
      </x:c>
      <x:c r="K64" s="9" t="str">
        <x:v>evidence/flutter-test-machine-final-156.ndjson</x:v>
      </x:c>
      <x:c r="L64" s="9" t="str"/>
      <x:c r="M64" s="9" t="str">
        <x:v>Codex</x:v>
      </x:c>
      <x:c r="N64" s="9" t="str">
        <x:v>Flutter: test/features/v4/workspace_persistence_logout_test.dart :: global logout clears two windows and persisted state under 2 seconds</x:v>
      </x:c>
    </x:row>
    <x:row r="65">
      <x:c r="A65" s="9" t="str">
        <x:v>RUN-G-009</x:v>
      </x:c>
      <x:c r="B65" s="9" t="str">
        <x:v>AUTH-009</x:v>
      </x:c>
      <x:c r="C65" s="9" t="str">
        <x:v>REGRESSION</x:v>
      </x:c>
      <x:c r="D65" s="9" t="str">
        <x:v>1.2.3+156</x:v>
      </x:c>
      <x:c r="E65" s="9" t="str">
        <x:v>вошедший пользователь</x:v>
      </x:c>
      <x:c r="F65" s="9" t="str">
        <x:v>Server</x:v>
      </x:c>
      <x:c r="G65" s="9" t="str">
        <x:v>self</x:v>
      </x:c>
      <x:c r="H65" s="9" t="str">
        <x:v>2026-08-06</x:v>
      </x:c>
      <x:c r="I65" s="9" t="str">
        <x:v>PASS</x:v>
      </x:c>
      <x:c r="J65" s="9" t="str">
        <x:v>Post-fix acceptance passed for Logout all devices: 1 exact named test(s) matched and passed on build 1.2.3+156.</x:v>
      </x:c>
      <x:c r="K65" s="9" t="str">
        <x:v>evidence/server-test-json-final-156.json</x:v>
      </x:c>
      <x:c r="L65" s="9" t="str"/>
      <x:c r="M65" s="9" t="str">
        <x:v>Codex</x:v>
      </x:c>
      <x:c r="N65" s="9" t="str">
        <x:v>Server: server/src/auth/session.service.spec.ts :: SessionService revokes all user sessions</x:v>
      </x:c>
    </x:row>
    <x:row r="66">
      <x:c r="A66" s="9" t="str">
        <x:v>RUN-G-010</x:v>
      </x:c>
      <x:c r="B66" s="9" t="str">
        <x:v>AUTH-010</x:v>
      </x:c>
      <x:c r="C66" s="9" t="str">
        <x:v>REGRESSION</x:v>
      </x:c>
      <x:c r="D66" s="9" t="str">
        <x:v>1.2.3+156</x:v>
      </x:c>
      <x:c r="E66" s="9" t="str">
        <x:v>новый пользователь</x:v>
      </x:c>
      <x:c r="F66" s="9" t="str">
        <x:v>Server</x:v>
      </x:c>
      <x:c r="G66" s="9" t="str">
        <x:v>public</x:v>
      </x:c>
      <x:c r="H66" s="9" t="str">
        <x:v>2026-08-06</x:v>
      </x:c>
      <x:c r="I66" s="9" t="str">
        <x:v>PASS</x:v>
      </x:c>
      <x:c r="J66" s="9" t="str">
        <x:v>Post-fix acceptance passed for Password signup: 1 exact named test(s) matched and passed on build 1.2.3+156.</x:v>
      </x:c>
      <x:c r="K66" s="9" t="str">
        <x:v>evidence/server-test-json-final-156.json</x:v>
      </x:c>
      <x:c r="L66" s="9" t="str"/>
      <x:c r="M66" s="9" t="str">
        <x:v>Codex</x:v>
      </x:c>
      <x:c r="N66" s="9" t="str">
        <x:v>Server: server/src/auth/auth.service.spec.ts :: AuthService creates users with client role and normalized email</x:v>
      </x:c>
    </x:row>
    <x:row r="67">
      <x:c r="A67" s="9" t="str">
        <x:v>RUN-G-011</x:v>
      </x:c>
      <x:c r="B67" s="9" t="str">
        <x:v>AUTH-011</x:v>
      </x:c>
      <x:c r="C67" s="9" t="str">
        <x:v>REGRESSION</x:v>
      </x:c>
      <x:c r="D67" s="9" t="str">
        <x:v>1.2.3+156</x:v>
      </x:c>
      <x:c r="E67" s="9" t="str">
        <x:v>новый пользователь</x:v>
      </x:c>
      <x:c r="F67" s="9" t="str">
        <x:v>Server</x:v>
      </x:c>
      <x:c r="G67" s="9" t="str">
        <x:v>public</x:v>
      </x:c>
      <x:c r="H67" s="9" t="str">
        <x:v>2026-08-06</x:v>
      </x:c>
      <x:c r="I67" s="9" t="str">
        <x:v>PASS</x:v>
      </x:c>
      <x:c r="J67" s="9" t="str">
        <x:v>Post-fix acceptance passed for Signup OTP verify: 1 exact named test(s) matched and passed on build 1.2.3+156.</x:v>
      </x:c>
      <x:c r="K67" s="9" t="str">
        <x:v>evidence/server-test-json-final-156.json</x:v>
      </x:c>
      <x:c r="L67" s="9" t="str"/>
      <x:c r="M67" s="9" t="str">
        <x:v>Codex</x:v>
      </x:c>
      <x:c r="N67" s="9" t="str">
        <x:v>Server: server/src/auth/auth.service.spec.ts :: AuthService verifies a valid OTP and marks email verified</x:v>
      </x:c>
    </x:row>
    <x:row r="68">
      <x:c r="A68" s="9" t="str">
        <x:v>RUN-G-012</x:v>
      </x:c>
      <x:c r="B68" s="9" t="str">
        <x:v>AUTH-012</x:v>
      </x:c>
      <x:c r="C68" s="9" t="str">
        <x:v>REGRESSION</x:v>
      </x:c>
      <x:c r="D68" s="9" t="str">
        <x:v>1.2.3+156</x:v>
      </x:c>
      <x:c r="E68" s="9" t="str">
        <x:v>новый пользователь</x:v>
      </x:c>
      <x:c r="F68" s="9" t="str">
        <x:v>Server</x:v>
      </x:c>
      <x:c r="G68" s="9" t="str">
        <x:v>public</x:v>
      </x:c>
      <x:c r="H68" s="9" t="str">
        <x:v>2026-08-06</x:v>
      </x:c>
      <x:c r="I68" s="9" t="str">
        <x:v>PASS</x:v>
      </x:c>
      <x:c r="J68" s="9" t="str">
        <x:v>Post-fix acceptance passed for Resend signup OTP: 1 exact named test(s) matched and passed on build 1.2.3+156.</x:v>
      </x:c>
      <x:c r="K68" s="9" t="str">
        <x:v>evidence/server-test-json-final-156.json</x:v>
      </x:c>
      <x:c r="L68" s="9" t="str"/>
      <x:c r="M68" s="9" t="str">
        <x:v>Codex</x:v>
      </x:c>
      <x:c r="N68" s="9" t="str">
        <x:v>Server: server/src/auth/auth.service.spec.ts :: AuthService rate limits OTP challenges</x:v>
      </x:c>
    </x:row>
    <x:row r="69">
      <x:c r="A69" s="9" t="str">
        <x:v>RUN-G-013</x:v>
      </x:c>
      <x:c r="B69" s="9" t="str">
        <x:v>AUTH-013</x:v>
      </x:c>
      <x:c r="C69" s="9" t="str">
        <x:v>REGRESSION</x:v>
      </x:c>
      <x:c r="D69" s="9" t="str">
        <x:v>1.2.3+156</x:v>
      </x:c>
      <x:c r="E69" s="9" t="str">
        <x:v>пользователь</x:v>
      </x:c>
      <x:c r="F69" s="9" t="str">
        <x:v>Flutter</x:v>
      </x:c>
      <x:c r="G69" s="9" t="str">
        <x:v>self</x:v>
      </x:c>
      <x:c r="H69" s="9" t="str">
        <x:v>2026-08-06</x:v>
      </x:c>
      <x:c r="I69" s="9" t="str">
        <x:v>PASS</x:v>
      </x:c>
      <x:c r="J69" s="9" t="str">
        <x:v>Post-fix acceptance passed for Email OTP login: 1 exact named test(s) matched and passed on build 1.2.3+156.</x:v>
      </x:c>
      <x:c r="K69" s="9" t="str">
        <x:v>evidence/flutter-test-machine-final-156.ndjson</x:v>
      </x:c>
      <x:c r="L69" s="9" t="str"/>
      <x:c r="M69" s="9" t="str">
        <x:v>Codex</x:v>
      </x:c>
      <x:c r="N69" s="9" t="str">
        <x:v>Flutter: test/features/auth/magic_auth_service_test.dart :: MagicAuthService email OTP verification saves v3 session when backend returns tokens</x:v>
      </x:c>
    </x:row>
    <x:row r="70">
      <x:c r="A70" s="9" t="str">
        <x:v>RUN-G-014</x:v>
      </x:c>
      <x:c r="B70" s="9" t="str">
        <x:v>AUTH-014</x:v>
      </x:c>
      <x:c r="C70" s="9" t="str">
        <x:v>REGRESSION</x:v>
      </x:c>
      <x:c r="D70" s="9" t="str">
        <x:v>1.2.3+156</x:v>
      </x:c>
      <x:c r="E70" s="9" t="str">
        <x:v>пользователь с MFA</x:v>
      </x:c>
      <x:c r="F70" s="9" t="str">
        <x:v>Server</x:v>
      </x:c>
      <x:c r="G70" s="9" t="str">
        <x:v>self</x:v>
      </x:c>
      <x:c r="H70" s="9" t="str">
        <x:v>2026-08-06</x:v>
      </x:c>
      <x:c r="I70" s="9" t="str">
        <x:v>PASS</x:v>
      </x:c>
      <x:c r="J70" s="9" t="str">
        <x:v>Post-fix acceptance passed for MFA challenge: 1 exact named test(s) matched and passed on build 1.2.3+156.</x:v>
      </x:c>
      <x:c r="K70" s="9" t="str">
        <x:v>evidence/server-test-json-final-156.json</x:v>
      </x:c>
      <x:c r="L70" s="9" t="str"/>
      <x:c r="M70" s="9" t="str">
        <x:v>Codex</x:v>
      </x:c>
      <x:c r="N70" s="9" t="str">
        <x:v>Server: server/src/auth/auth.service.spec.ts :: AuthService requires email OTP without issuing a session when 2FA is enabled</x:v>
      </x:c>
    </x:row>
    <x:row r="71">
      <x:c r="A71" s="9" t="str">
        <x:v>RUN-G-015</x:v>
      </x:c>
      <x:c r="B71" s="9" t="str">
        <x:v>AUTH-015</x:v>
      </x:c>
      <x:c r="C71" s="9" t="str">
        <x:v>REGRESSION</x:v>
      </x:c>
      <x:c r="D71" s="9" t="str">
        <x:v>1.2.3+156</x:v>
      </x:c>
      <x:c r="E71" s="9" t="str">
        <x:v>пользователь</x:v>
      </x:c>
      <x:c r="F71" s="9" t="str">
        <x:v>Server</x:v>
      </x:c>
      <x:c r="G71" s="9" t="str">
        <x:v>public</x:v>
      </x:c>
      <x:c r="H71" s="9" t="str">
        <x:v>2026-08-06</x:v>
      </x:c>
      <x:c r="I71" s="9" t="str">
        <x:v>PASS</x:v>
      </x:c>
      <x:c r="J71" s="9" t="str">
        <x:v>Post-fix acceptance passed for Request password reset: 1 exact named test(s) matched and passed on build 1.2.3+156.</x:v>
      </x:c>
      <x:c r="K71" s="9" t="str">
        <x:v>evidence/server-test-json-final-156.json</x:v>
      </x:c>
      <x:c r="L71" s="9" t="str"/>
      <x:c r="M71" s="9" t="str">
        <x:v>Codex</x:v>
      </x:c>
      <x:c r="N71" s="9" t="str">
        <x:v>Server: server/src/auth/auth.service.spec.ts :: AuthService accepts password reset request without leaking unknown email</x:v>
      </x:c>
    </x:row>
    <x:row r="72">
      <x:c r="A72" s="9" t="str">
        <x:v>RUN-G-016</x:v>
      </x:c>
      <x:c r="B72" s="9" t="str">
        <x:v>AUTH-016</x:v>
      </x:c>
      <x:c r="C72" s="9" t="str">
        <x:v>REGRESSION</x:v>
      </x:c>
      <x:c r="D72" s="9" t="str">
        <x:v>1.2.3+156</x:v>
      </x:c>
      <x:c r="E72" s="9" t="str">
        <x:v>пользователь</x:v>
      </x:c>
      <x:c r="F72" s="9" t="str">
        <x:v>Server</x:v>
      </x:c>
      <x:c r="G72" s="9" t="str">
        <x:v>self</x:v>
      </x:c>
      <x:c r="H72" s="9" t="str">
        <x:v>2026-08-06</x:v>
      </x:c>
      <x:c r="I72" s="9" t="str">
        <x:v>PASS</x:v>
      </x:c>
      <x:c r="J72" s="9" t="str">
        <x:v>Post-fix acceptance passed for Confirm password reset: 1 exact named test(s) matched and passed on build 1.2.3+156.</x:v>
      </x:c>
      <x:c r="K72" s="9" t="str">
        <x:v>evidence/server-test-json-final-156.json</x:v>
      </x:c>
      <x:c r="L72" s="9" t="str"/>
      <x:c r="M72" s="9" t="str">
        <x:v>Codex</x:v>
      </x:c>
      <x:c r="N72" s="9" t="str">
        <x:v>Server: server/src/auth/auth.service.spec.ts :: AuthService resets password and revokes existing sessions</x:v>
      </x:c>
    </x:row>
    <x:row r="73">
      <x:c r="A73" s="9" t="str">
        <x:v>RUN-G-017</x:v>
      </x:c>
      <x:c r="B73" s="9" t="str">
        <x:v>AUTH-017</x:v>
      </x:c>
      <x:c r="C73" s="9" t="str">
        <x:v>REGRESSION</x:v>
      </x:c>
      <x:c r="D73" s="9" t="str">
        <x:v>1.2.3+156</x:v>
      </x:c>
      <x:c r="E73" s="9" t="str">
        <x:v>вошедший пользователь без пароля</x:v>
      </x:c>
      <x:c r="F73" s="9" t="str">
        <x:v>Flutter</x:v>
      </x:c>
      <x:c r="G73" s="9" t="str">
        <x:v>self</x:v>
      </x:c>
      <x:c r="H73" s="9" t="str">
        <x:v>2026-08-06</x:v>
      </x:c>
      <x:c r="I73" s="9" t="str">
        <x:v>PASS</x:v>
      </x:c>
      <x:c r="J73" s="9" t="str">
        <x:v>Post-fix acceptance passed for Set password: 1 exact named test(s) matched and passed on build 1.2.3+156.</x:v>
      </x:c>
      <x:c r="K73" s="9" t="str">
        <x:v>evidence/flutter-test-machine-final-156.ndjson</x:v>
      </x:c>
      <x:c r="L73" s="9" t="str"/>
      <x:c r="M73" s="9" t="str">
        <x:v>Codex</x:v>
      </x:c>
      <x:c r="N73" s="9" t="str">
        <x:v>Flutter: test/features/auth/magic_auth_service_test.dart :: MagicAuthService sets password through authenticated v3 endpoint</x:v>
      </x:c>
    </x:row>
    <x:row r="74">
      <x:c r="A74" s="9" t="str">
        <x:v>RUN-G-018</x:v>
      </x:c>
      <x:c r="B74" s="9" t="str">
        <x:v>AUTH-018</x:v>
      </x:c>
      <x:c r="C74" s="9" t="str">
        <x:v>REGRESSION</x:v>
      </x:c>
      <x:c r="D74" s="9" t="str">
        <x:v>1.2.3+156</x:v>
      </x:c>
      <x:c r="E74" s="9" t="str">
        <x:v>вошедший пользователь</x:v>
      </x:c>
      <x:c r="F74" s="9" t="str">
        <x:v>Flutter</x:v>
      </x:c>
      <x:c r="G74" s="9" t="str">
        <x:v>self</x:v>
      </x:c>
      <x:c r="H74" s="9" t="str">
        <x:v>2026-08-06</x:v>
      </x:c>
      <x:c r="I74" s="9" t="str">
        <x:v>PASS</x:v>
      </x:c>
      <x:c r="J74" s="9" t="str">
        <x:v>Post-fix acceptance passed for Auth methods: 1 exact named test(s) matched and passed on build 1.2.3+156.</x:v>
      </x:c>
      <x:c r="K74" s="9" t="str">
        <x:v>evidence/flutter-test-machine-final-156.ndjson</x:v>
      </x:c>
      <x:c r="L74" s="9" t="str"/>
      <x:c r="M74" s="9" t="str">
        <x:v>Codex</x:v>
      </x:c>
      <x:c r="N74" s="9" t="str">
        <x:v>Flutter: test/features/auth/magic_auth_service_test.dart :: MagicAuthService loads auth identities through authenticated v3 endpoint</x:v>
      </x:c>
    </x:row>
    <x:row r="75">
      <x:c r="A75" s="9" t="str">
        <x:v>RUN-G-019</x:v>
      </x:c>
      <x:c r="B75" s="9" t="str">
        <x:v>AUTH-019</x:v>
      </x:c>
      <x:c r="C75" s="9" t="str">
        <x:v>REGRESSION</x:v>
      </x:c>
      <x:c r="D75" s="9" t="str">
        <x:v>1.2.3+156</x:v>
      </x:c>
      <x:c r="E75" s="9" t="str">
        <x:v>пользователь</x:v>
      </x:c>
      <x:c r="F75" s="9" t="str">
        <x:v>Server</x:v>
      </x:c>
      <x:c r="G75" s="9" t="str">
        <x:v>public/self</x:v>
      </x:c>
      <x:c r="H75" s="9" t="str">
        <x:v>2026-08-06</x:v>
      </x:c>
      <x:c r="I75" s="9" t="str">
        <x:v>PASS</x:v>
      </x:c>
      <x:c r="J75" s="9" t="str">
        <x:v>Post-fix acceptance passed for Google identity (disabled): 1 exact named test(s) matched and passed on build 1.2.3+156.</x:v>
      </x:c>
      <x:c r="K75" s="9" t="str">
        <x:v>evidence/server-test-json-final-156.json</x:v>
      </x:c>
      <x:c r="L75" s="9" t="str"/>
      <x:c r="M75" s="9" t="str">
        <x:v>Codex</x:v>
      </x:c>
      <x:c r="N75" s="9" t="str">
        <x:v>Server: server/src/auth/auth.controller.spec.ts :: AuthController keeps every Google sign-in and link endpoint explicitly disabled</x:v>
      </x:c>
    </x:row>
    <x:row r="76">
      <x:c r="A76" s="9" t="str">
        <x:v>RUN-G-020</x:v>
      </x:c>
      <x:c r="B76" s="9" t="str">
        <x:v>AUTH-020</x:v>
      </x:c>
      <x:c r="C76" s="9" t="str">
        <x:v>REGRESSION</x:v>
      </x:c>
      <x:c r="D76" s="9" t="str">
        <x:v>1.2.3+156</x:v>
      </x:c>
      <x:c r="E76" s="9" t="str">
        <x:v>новый вошедший пользователь</x:v>
      </x:c>
      <x:c r="F76" s="9" t="str">
        <x:v>Flutter</x:v>
      </x:c>
      <x:c r="G76" s="9" t="str">
        <x:v>self</x:v>
      </x:c>
      <x:c r="H76" s="9" t="str">
        <x:v>2026-08-06</x:v>
      </x:c>
      <x:c r="I76" s="9" t="str">
        <x:v>PASS</x:v>
      </x:c>
      <x:c r="J76" s="9" t="str">
        <x:v>Post-fix acceptance passed for Onboarding: 1 exact named test(s) matched and passed on build 1.2.3+156.</x:v>
      </x:c>
      <x:c r="K76" s="9" t="str">
        <x:v>evidence/flutter-test-machine-final-156.ndjson</x:v>
      </x:c>
      <x:c r="L76" s="9" t="str"/>
      <x:c r="M76" s="9" t="str">
        <x:v>Codex</x:v>
      </x:c>
      <x:c r="N76" s="9" t="str">
        <x:v>Flutter: test/features/auth/magic_release_gate_service_test.dart :: MagicReleaseGateService completes onboarding with trimmed required profile fields</x:v>
      </x:c>
    </x:row>
    <x:row r="77">
      <x:c r="A77" s="9" t="str">
        <x:v>RUN-G-021</x:v>
      </x:c>
      <x:c r="B77" s="9" t="str">
        <x:v>AUTH-021</x:v>
      </x:c>
      <x:c r="C77" s="9" t="str">
        <x:v>REGRESSION</x:v>
      </x:c>
      <x:c r="D77" s="9" t="str">
        <x:v>1.2.3+156</x:v>
      </x:c>
      <x:c r="E77" s="9" t="str">
        <x:v>вошедший пользователь</x:v>
      </x:c>
      <x:c r="F77" s="9" t="str">
        <x:v>Server</x:v>
      </x:c>
      <x:c r="G77" s="9" t="str">
        <x:v>self</x:v>
      </x:c>
      <x:c r="H77" s="9" t="str">
        <x:v>2026-08-06</x:v>
      </x:c>
      <x:c r="I77" s="9" t="str">
        <x:v>PASS</x:v>
      </x:c>
      <x:c r="J77" s="9" t="str">
        <x:v>Post-fix acceptance passed for Legal gate: 1 exact named test(s) matched and passed on build 1.2.3+156.</x:v>
      </x:c>
      <x:c r="K77" s="9" t="str">
        <x:v>evidence/server-test-json-final-156.json</x:v>
      </x:c>
      <x:c r="L77" s="9" t="str"/>
      <x:c r="M77" s="9" t="str">
        <x:v>Codex</x:v>
      </x:c>
      <x:c r="N77" s="9" t="str">
        <x:v>Server: server/src/legal/legal.service.spec.ts :: LegalService accepts the exact current document set and records audit without raw evidence</x:v>
      </x:c>
    </x:row>
    <x:row r="78">
      <x:c r="A78" s="9" t="str">
        <x:v>RUN-G-022</x:v>
      </x:c>
      <x:c r="B78" s="9" t="str">
        <x:v>AUTH-022</x:v>
      </x:c>
      <x:c r="C78" s="9" t="str">
        <x:v>REGRESSION</x:v>
      </x:c>
      <x:c r="D78" s="9" t="str">
        <x:v>1.2.3+156</x:v>
      </x:c>
      <x:c r="E78" s="9" t="str">
        <x:v>пользователь</x:v>
      </x:c>
      <x:c r="F78" s="9" t="str">
        <x:v>Flutter</x:v>
      </x:c>
      <x:c r="G78" s="9" t="str">
        <x:v>self</x:v>
      </x:c>
      <x:c r="H78" s="9" t="str">
        <x:v>2026-08-06</x:v>
      </x:c>
      <x:c r="I78" s="9" t="str">
        <x:v>PASS</x:v>
      </x:c>
      <x:c r="J78" s="9" t="str">
        <x:v>Post-fix acceptance passed for Legal document view: 1 exact named test(s) matched and passed on build 1.2.3+156.</x:v>
      </x:c>
      <x:c r="K78" s="9" t="str">
        <x:v>evidence/flutter-test-machine-final-156.ndjson</x:v>
      </x:c>
      <x:c r="L78" s="9" t="str"/>
      <x:c r="M78" s="9" t="str">
        <x:v>Codex</x:v>
      </x:c>
      <x:c r="N78" s="9" t="str">
        <x:v>Flutter: test/features/auth/magic_release_gate_service_test.dart :: MagicReleaseGateService loads current legal documents and accepts their exact ids</x:v>
      </x:c>
    </x:row>
    <x:row r="79">
      <x:c r="A79" s="9" t="str">
        <x:v>RUN-G-023</x:v>
      </x:c>
      <x:c r="B79" s="9" t="str">
        <x:v>AUTH-023</x:v>
      </x:c>
      <x:c r="C79" s="9" t="str">
        <x:v>REGRESSION</x:v>
      </x:c>
      <x:c r="D79" s="9" t="str">
        <x:v>1.2.3+156</x:v>
      </x:c>
      <x:c r="E79" s="9" t="str">
        <x:v>вошедший пользователь</x:v>
      </x:c>
      <x:c r="F79" s="9" t="str">
        <x:v>Flutter</x:v>
      </x:c>
      <x:c r="G79" s="9" t="str">
        <x:v>self</x:v>
      </x:c>
      <x:c r="H79" s="9" t="str">
        <x:v>2026-08-06</x:v>
      </x:c>
      <x:c r="I79" s="9" t="str">
        <x:v>PASS</x:v>
      </x:c>
      <x:c r="J79" s="9" t="str">
        <x:v>Post-fix acceptance passed for Profile edit: 1 exact named test(s) matched and passed on build 1.2.3+156.</x:v>
      </x:c>
      <x:c r="K79" s="9" t="str">
        <x:v>evidence/flutter-test-machine-final-156.ndjson</x:v>
      </x:c>
      <x:c r="L79" s="9" t="str"/>
      <x:c r="M79" s="9" t="str">
        <x:v>Codex</x:v>
      </x:c>
      <x:c r="N79" s="9" t="str">
        <x:v>Flutter: test/features/auth/magic_auth_service_test.dart :: MagicAuthService updates only allowlisted current profile fields</x:v>
      </x:c>
    </x:row>
    <x:row r="80">
      <x:c r="A80" s="9" t="str">
        <x:v>RUN-G-024</x:v>
      </x:c>
      <x:c r="B80" s="9" t="str">
        <x:v>AUTH-024</x:v>
      </x:c>
      <x:c r="C80" s="9" t="str">
        <x:v>REGRESSION</x:v>
      </x:c>
      <x:c r="D80" s="9" t="str">
        <x:v>1.2.3+156</x:v>
      </x:c>
      <x:c r="E80" s="9" t="str">
        <x:v>вошедший пользователь</x:v>
      </x:c>
      <x:c r="F80" s="9" t="str">
        <x:v>Flutter</x:v>
      </x:c>
      <x:c r="G80" s="9" t="str">
        <x:v>self</x:v>
      </x:c>
      <x:c r="H80" s="9" t="str">
        <x:v>2026-08-06</x:v>
      </x:c>
      <x:c r="I80" s="9" t="str">
        <x:v>PASS</x:v>
      </x:c>
      <x:c r="J80" s="9" t="str">
        <x:v>Post-fix acceptance passed for MFA toggle: 1 exact named test(s) matched and passed on build 1.2.3+156.</x:v>
      </x:c>
      <x:c r="K80" s="9" t="str">
        <x:v>evidence/flutter-test-machine-final-156.ndjson</x:v>
      </x:c>
      <x:c r="L80" s="9" t="str"/>
      <x:c r="M80" s="9" t="str">
        <x:v>Codex</x:v>
      </x:c>
      <x:c r="N80" s="9" t="str">
        <x:v>Flutter: test/features/auth/magic_auth_service_test.dart :: MagicAuthService loads and updates email OTP MFA through the current profile</x:v>
      </x:c>
    </x:row>
    <x:row r="81">
      <x:c r="A81" s="9" t="str">
        <x:v>RUN-G-025</x:v>
      </x:c>
      <x:c r="B81" s="9" t="str">
        <x:v>AUTH-025</x:v>
      </x:c>
      <x:c r="C81" s="9" t="str">
        <x:v>REGRESSION</x:v>
      </x:c>
      <x:c r="D81" s="9" t="str">
        <x:v>1.2.3+156</x:v>
      </x:c>
      <x:c r="E81" s="9" t="str">
        <x:v>вошедший пользователь</x:v>
      </x:c>
      <x:c r="F81" s="9" t="str">
        <x:v>Flutter</x:v>
      </x:c>
      <x:c r="G81" s="9" t="str">
        <x:v>self</x:v>
      </x:c>
      <x:c r="H81" s="9" t="str">
        <x:v>2026-08-06</x:v>
      </x:c>
      <x:c r="I81" s="9" t="str">
        <x:v>PASS</x:v>
      </x:c>
      <x:c r="J81" s="9" t="str">
        <x:v>Post-fix acceptance passed for Account deletion request: 1 exact named test(s) matched and passed on build 1.2.3+156.</x:v>
      </x:c>
      <x:c r="K81" s="9" t="str">
        <x:v>evidence/flutter-test-machine-final-156.ndjson</x:v>
      </x:c>
      <x:c r="L81" s="9" t="str"/>
      <x:c r="M81" s="9" t="str">
        <x:v>Codex</x:v>
      </x:c>
      <x:c r="N81" s="9" t="str">
        <x:v>Flutter: test/features/auth/magic_release_gate_service_test.dart :: MagicReleaseGateService requests account deletion with required acknowledgement</x:v>
      </x:c>
    </x:row>
    <x:row r="82">
      <x:c r="A82" s="9" t="str">
        <x:v>RUN-G-026</x:v>
      </x:c>
      <x:c r="B82" s="9" t="str">
        <x:v>AUTH-026</x:v>
      </x:c>
      <x:c r="C82" s="9" t="str">
        <x:v>REGRESSION</x:v>
      </x:c>
      <x:c r="D82" s="9" t="str">
        <x:v>1.2.3+156</x:v>
      </x:c>
      <x:c r="E82" s="9" t="str">
        <x:v>пользователь с заявкой</x:v>
      </x:c>
      <x:c r="F82" s="9" t="str">
        <x:v>Flutter</x:v>
      </x:c>
      <x:c r="G82" s="9" t="str">
        <x:v>self</x:v>
      </x:c>
      <x:c r="H82" s="9" t="str">
        <x:v>2026-08-06</x:v>
      </x:c>
      <x:c r="I82" s="9" t="str">
        <x:v>PASS</x:v>
      </x:c>
      <x:c r="J82" s="9" t="str">
        <x:v>Post-fix acceptance passed for Account deletion status: 1 exact named test(s) matched and passed on build 1.2.3+156.</x:v>
      </x:c>
      <x:c r="K82" s="9" t="str">
        <x:v>evidence/flutter-test-machine-final-156.ndjson</x:v>
      </x:c>
      <x:c r="L82" s="9" t="str"/>
      <x:c r="M82" s="9" t="str">
        <x:v>Codex</x:v>
      </x:c>
      <x:c r="N82" s="9" t="str">
        <x:v>Flutter: test/features/auth/magic_release_gate_service_test.dart :: MagicReleaseGateService maps pending deletion request from v3 API</x:v>
      </x:c>
    </x:row>
    <x:row r="83">
      <x:c r="A83" s="9" t="str">
        <x:v>RUN-G-027</x:v>
      </x:c>
      <x:c r="B83" s="9" t="str">
        <x:v>NAV-001</x:v>
      </x:c>
      <x:c r="C83" s="9" t="str">
        <x:v>REGRESSION</x:v>
      </x:c>
      <x:c r="D83" s="9" t="str">
        <x:v>1.2.3+156</x:v>
      </x:c>
      <x:c r="E83" s="9" t="str">
        <x:v>вошедший пользователь</x:v>
      </x:c>
      <x:c r="F83" s="9" t="str">
        <x:v>Flutter</x:v>
      </x:c>
      <x:c r="G83" s="9" t="str">
        <x:v>effective role</x:v>
      </x:c>
      <x:c r="H83" s="9" t="str">
        <x:v>2026-08-06</x:v>
      </x:c>
      <x:c r="I83" s="9" t="str">
        <x:v>PASS</x:v>
      </x:c>
      <x:c r="J83" s="9" t="str">
        <x:v>Post-fix acceptance passed for Role landing: 1 exact named test(s) matched and passed on build 1.2.3+156.</x:v>
      </x:c>
      <x:c r="K83" s="9" t="str">
        <x:v>evidence/flutter-test-machine-final-156.ndjson</x:v>
      </x:c>
      <x:c r="L83" s="9" t="str"/>
      <x:c r="M83" s="9" t="str">
        <x:v>Codex</x:v>
      </x:c>
      <x:c r="N83" s="9" t="str">
        <x:v>Flutter: test/features/rbac_nav_matrix_test.dart :: crmVisibleTabs — per-role destination matrix client has no CRM shell destinations</x:v>
      </x:c>
    </x:row>
    <x:row r="84">
      <x:c r="A84" s="9" t="str">
        <x:v>RUN-G-028</x:v>
      </x:c>
      <x:c r="B84" s="9" t="str">
        <x:v>NAV-002</x:v>
      </x:c>
      <x:c r="C84" s="9" t="str">
        <x:v>REGRESSION</x:v>
      </x:c>
      <x:c r="D84" s="9" t="str">
        <x:v>1.2.3+156</x:v>
      </x:c>
      <x:c r="E84" s="9" t="str">
        <x:v>клиент</x:v>
      </x:c>
      <x:c r="F84" s="9" t="str">
        <x:v>Flutter</x:v>
      </x:c>
      <x:c r="G84" s="9" t="str">
        <x:v>client self</x:v>
      </x:c>
      <x:c r="H84" s="9" t="str">
        <x:v>2026-08-06</x:v>
      </x:c>
      <x:c r="I84" s="9" t="str">
        <x:v>PASS</x:v>
      </x:c>
      <x:c r="J84" s="9" t="str">
        <x:v>Post-fix acceptance passed for Client navigation: 1 exact named test(s) matched and passed on build 1.2.3+156.</x:v>
      </x:c>
      <x:c r="K84" s="9" t="str">
        <x:v>evidence/flutter-test-machine-final-156.ndjson</x:v>
      </x:c>
      <x:c r="L84" s="9" t="str"/>
      <x:c r="M84" s="9" t="str">
        <x:v>Codex</x:v>
      </x:c>
      <x:c r="N84" s="9" t="str">
        <x:v>Flutter: test/features/rbac_nav_matrix_test.dart :: crmVisibleTabs — per-role destination matrix client has no CRM shell destinations</x:v>
      </x:c>
    </x:row>
    <x:row r="85">
      <x:c r="A85" s="9" t="str">
        <x:v>RUN-G-029</x:v>
      </x:c>
      <x:c r="B85" s="9" t="str">
        <x:v>NAV-003</x:v>
      </x:c>
      <x:c r="C85" s="9" t="str">
        <x:v>REGRESSION</x:v>
      </x:c>
      <x:c r="D85" s="9" t="str">
        <x:v>1.2.3+156</x:v>
      </x:c>
      <x:c r="E85" s="9" t="str">
        <x:v>преподаватель</x:v>
      </x:c>
      <x:c r="F85" s="9" t="str">
        <x:v>Flutter</x:v>
      </x:c>
      <x:c r="G85" s="9" t="str">
        <x:v>teacher assigned</x:v>
      </x:c>
      <x:c r="H85" s="9" t="str">
        <x:v>2026-08-06</x:v>
      </x:c>
      <x:c r="I85" s="9" t="str">
        <x:v>PASS</x:v>
      </x:c>
      <x:c r="J85" s="9" t="str">
        <x:v>Post-fix acceptance passed for Teacher navigation: 1 exact named test(s) matched and passed on build 1.2.3+156.</x:v>
      </x:c>
      <x:c r="K85" s="9" t="str">
        <x:v>evidence/flutter-test-machine-final-156.ndjson</x:v>
      </x:c>
      <x:c r="L85" s="9" t="str"/>
      <x:c r="M85" s="9" t="str">
        <x:v>Codex</x:v>
      </x:c>
      <x:c r="N85" s="9" t="str">
        <x:v>Flutter: test/features/v4/teacher_schedule_read_only_test.dart :: teacher uses canonical assigned-only Day/Week read-only surface</x:v>
      </x:c>
    </x:row>
    <x:row r="86">
      <x:c r="A86" s="9" t="str">
        <x:v>RUN-G-030</x:v>
      </x:c>
      <x:c r="B86" s="9" t="str">
        <x:v>NAV-004</x:v>
      </x:c>
      <x:c r="C86" s="9" t="str">
        <x:v>REGRESSION</x:v>
      </x:c>
      <x:c r="D86" s="9" t="str">
        <x:v>1.2.3+156</x:v>
      </x:c>
      <x:c r="E86" s="9" t="str">
        <x:v>администратор</x:v>
      </x:c>
      <x:c r="F86" s="9" t="str">
        <x:v>Flutter</x:v>
      </x:c>
      <x:c r="G86" s="9" t="str">
        <x:v>admin ceiling</x:v>
      </x:c>
      <x:c r="H86" s="9" t="str">
        <x:v>2026-08-06</x:v>
      </x:c>
      <x:c r="I86" s="9" t="str">
        <x:v>PASS</x:v>
      </x:c>
      <x:c r="J86" s="9" t="str">
        <x:v>Post-fix acceptance passed for Admin navigation: 1 exact named test(s) matched and passed on build 1.2.3+156.</x:v>
      </x:c>
      <x:c r="K86" s="9" t="str">
        <x:v>evidence/flutter-test-machine-final-156.ndjson</x:v>
      </x:c>
      <x:c r="L86" s="9" t="str"/>
      <x:c r="M86" s="9" t="str">
        <x:v>Codex</x:v>
      </x:c>
      <x:c r="N86" s="9" t="str">
        <x:v>Flutter: test/features/messenger/tasks_navigation_test.dart :: admin never mounts or requests the Tasks destination</x:v>
      </x:c>
    </x:row>
    <x:row r="87">
      <x:c r="A87" s="9" t="str">
        <x:v>RUN-G-031</x:v>
      </x:c>
      <x:c r="B87" s="9" t="str">
        <x:v>NAV-005</x:v>
      </x:c>
      <x:c r="C87" s="9" t="str">
        <x:v>REGRESSION</x:v>
      </x:c>
      <x:c r="D87" s="9" t="str">
        <x:v>1.2.3+156</x:v>
      </x:c>
      <x:c r="E87" s="9" t="str">
        <x:v>управляющий</x:v>
      </x:c>
      <x:c r="F87" s="9" t="str">
        <x:v>Flutter</x:v>
      </x:c>
      <x:c r="G87" s="9" t="str">
        <x:v>manager branch scope</x:v>
      </x:c>
      <x:c r="H87" s="9" t="str">
        <x:v>2026-08-06</x:v>
      </x:c>
      <x:c r="I87" s="9" t="str">
        <x:v>PASS</x:v>
      </x:c>
      <x:c r="J87" s="9" t="str">
        <x:v>Post-fix acceptance passed for Manager navigation: 1 exact named test(s) matched and passed on build 1.2.3+156.</x:v>
      </x:c>
      <x:c r="K87" s="9" t="str">
        <x:v>evidence/flutter-test-machine-final-156.ndjson</x:v>
      </x:c>
      <x:c r="L87" s="9" t="str"/>
      <x:c r="M87" s="9" t="str">
        <x:v>Codex</x:v>
      </x:c>
      <x:c r="N87" s="9" t="str">
        <x:v>Flutter: test/features/messenger/tasks_navigation_test.dart :: manager can open Tasks from the mobile overflow navigation</x:v>
      </x:c>
    </x:row>
    <x:row r="88">
      <x:c r="A88" s="9" t="str">
        <x:v>RUN-G-032</x:v>
      </x:c>
      <x:c r="B88" s="9" t="str">
        <x:v>NAV-006</x:v>
      </x:c>
      <x:c r="C88" s="9" t="str">
        <x:v>REGRESSION</x:v>
      </x:c>
      <x:c r="D88" s="9" t="str">
        <x:v>1.2.3+156</x:v>
      </x:c>
      <x:c r="E88" s="9" t="str">
        <x:v>директор</x:v>
      </x:c>
      <x:c r="F88" s="9" t="str">
        <x:v>Flutter</x:v>
      </x:c>
      <x:c r="G88" s="9" t="str">
        <x:v>director school scope</x:v>
      </x:c>
      <x:c r="H88" s="9" t="str">
        <x:v>2026-08-06</x:v>
      </x:c>
      <x:c r="I88" s="9" t="str">
        <x:v>PASS</x:v>
      </x:c>
      <x:c r="J88" s="9" t="str">
        <x:v>Post-fix acceptance passed for Director navigation: 1 exact named test(s) matched and passed on build 1.2.3+156.</x:v>
      </x:c>
      <x:c r="K88" s="9" t="str">
        <x:v>evidence/flutter-test-machine-final-156.ndjson</x:v>
      </x:c>
      <x:c r="L88" s="9" t="str"/>
      <x:c r="M88" s="9" t="str">
        <x:v>Codex</x:v>
      </x:c>
      <x:c r="N88" s="9" t="str">
        <x:v>Flutter: test/features/messenger/tasks_navigation_test.dart :: director can open Analytics from compact navigation</x:v>
      </x:c>
    </x:row>
    <x:row r="89">
      <x:c r="A89" s="9" t="str">
        <x:v>RUN-G-033</x:v>
      </x:c>
      <x:c r="B89" s="9" t="str">
        <x:v>NAV-007</x:v>
      </x:c>
      <x:c r="C89" s="9" t="str">
        <x:v>REGRESSION</x:v>
      </x:c>
      <x:c r="D89" s="9" t="str">
        <x:v>1.2.3+156</x:v>
      </x:c>
      <x:c r="E89" s="9" t="str">
        <x:v>пользователь без capability</x:v>
      </x:c>
      <x:c r="F89" s="9" t="str">
        <x:v>Flutter</x:v>
      </x:c>
      <x:c r="G89" s="9" t="str">
        <x:v>fail closed</x:v>
      </x:c>
      <x:c r="H89" s="9" t="str">
        <x:v>2026-08-06</x:v>
      </x:c>
      <x:c r="I89" s="9" t="str">
        <x:v>PASS</x:v>
      </x:c>
      <x:c r="J89" s="9" t="str">
        <x:v>Post-fix acceptance passed for Forbidden deep link: 1 exact named test(s) matched and passed on build 1.2.3+156.</x:v>
      </x:c>
      <x:c r="K89" s="9" t="str">
        <x:v>evidence/flutter-test-machine-final-156.ndjson</x:v>
      </x:c>
      <x:c r="L89" s="9" t="str"/>
      <x:c r="M89" s="9" t="str">
        <x:v>Codex</x:v>
      </x:c>
      <x:c r="N89" s="9" t="str">
        <x:v>Flutter: test/features/v4/entity_link_registry_test.dart :: forbidden/deleted/archived/unknown states terminate safely</x:v>
      </x:c>
    </x:row>
    <x:row r="90">
      <x:c r="A90" s="9" t="str">
        <x:v>RUN-G-034</x:v>
      </x:c>
      <x:c r="B90" s="9" t="str">
        <x:v>NAV-008</x:v>
      </x:c>
      <x:c r="C90" s="9" t="str">
        <x:v>REGRESSION</x:v>
      </x:c>
      <x:c r="D90" s="9" t="str">
        <x:v>1.2.3+156</x:v>
      </x:c>
      <x:c r="E90" s="9" t="str">
        <x:v>staff пользователь</x:v>
      </x:c>
      <x:c r="F90" s="9" t="str">
        <x:v>Flutter</x:v>
      </x:c>
      <x:c r="G90" s="9" t="str">
        <x:v>actor-safe projection</x:v>
      </x:c>
      <x:c r="H90" s="9" t="str">
        <x:v>2026-08-06</x:v>
      </x:c>
      <x:c r="I90" s="9" t="str">
        <x:v>PASS</x:v>
      </x:c>
      <x:c r="J90" s="9" t="str">
        <x:v>Post-fix acceptance passed for Typed entity link: 1 exact named test(s) matched and passed on build 1.2.3+156.</x:v>
      </x:c>
      <x:c r="K90" s="9" t="str">
        <x:v>evidence/flutter-test-machine-final-156.ndjson</x:v>
      </x:c>
      <x:c r="L90" s="9" t="str"/>
      <x:c r="M90" s="9" t="str">
        <x:v>Codex</x:v>
      </x:c>
      <x:c r="N90" s="9" t="str">
        <x:v>Flutter: test/features/v4/entity_link_registry_test.dart :: human presentation survives serialization and replaces raw ids</x:v>
      </x:c>
    </x:row>
    <x:row r="91">
      <x:c r="A91" s="9" t="str">
        <x:v>RUN-G-035</x:v>
      </x:c>
      <x:c r="B91" s="9" t="str">
        <x:v>NAV-009</x:v>
      </x:c>
      <x:c r="C91" s="9" t="str">
        <x:v>REGRESSION</x:v>
      </x:c>
      <x:c r="D91" s="9" t="str">
        <x:v>1.2.3+156</x:v>
      </x:c>
      <x:c r="E91" s="9" t="str">
        <x:v>desktop staff</x:v>
      </x:c>
      <x:c r="F91" s="9" t="str">
        <x:v>Flutter</x:v>
      </x:c>
      <x:c r="G91" s="9" t="str">
        <x:v>account scoped</x:v>
      </x:c>
      <x:c r="H91" s="9" t="str">
        <x:v>2026-08-06</x:v>
      </x:c>
      <x:c r="I91" s="9" t="str">
        <x:v>PASS</x:v>
      </x:c>
      <x:c r="J91" s="9" t="str">
        <x:v>Post-fix acceptance passed for Desktop open current tab: 1 exact named test(s) matched and passed on build 1.2.3+156.</x:v>
      </x:c>
      <x:c r="K91" s="9" t="str">
        <x:v>evidence/flutter-test-machine-final-156.ndjson</x:v>
      </x:c>
      <x:c r="L91" s="9" t="str"/>
      <x:c r="M91" s="9" t="str">
        <x:v>Codex</x:v>
      </x:c>
      <x:c r="N91" s="9" t="str">
        <x:v>Flutter: test/features/v4/desktop_workspace_controller_test.dart :: lateral section replacement becomes the Back source for drilldown</x:v>
      </x:c>
    </x:row>
    <x:row r="92">
      <x:c r="A92" s="9" t="str">
        <x:v>RUN-G-036</x:v>
      </x:c>
      <x:c r="B92" s="9" t="str">
        <x:v>NAV-010</x:v>
      </x:c>
      <x:c r="C92" s="9" t="str">
        <x:v>REGRESSION</x:v>
      </x:c>
      <x:c r="D92" s="9" t="str">
        <x:v>1.2.3+156</x:v>
      </x:c>
      <x:c r="E92" s="9" t="str">
        <x:v>desktop staff</x:v>
      </x:c>
      <x:c r="F92" s="9" t="str">
        <x:v>Flutter</x:v>
      </x:c>
      <x:c r="G92" s="9" t="str">
        <x:v>account scoped</x:v>
      </x:c>
      <x:c r="H92" s="9" t="str">
        <x:v>2026-08-06</x:v>
      </x:c>
      <x:c r="I92" s="9" t="str">
        <x:v>PASS</x:v>
      </x:c>
      <x:c r="J92" s="9" t="str">
        <x:v>Post-fix acceptance passed for Desktop open new tab: 1 exact named test(s) matched and passed on build 1.2.3+156.</x:v>
      </x:c>
      <x:c r="K92" s="9" t="str">
        <x:v>evidence/flutter-test-machine-final-156.ndjson</x:v>
      </x:c>
      <x:c r="L92" s="9" t="str"/>
      <x:c r="M92" s="9" t="str">
        <x:v>Codex</x:v>
      </x:c>
      <x:c r="N92" s="9" t="str">
        <x:v>Flutter: test/features/v4/desktop_workspace_controller_test.dart :: normal open focuses existing entity and explicit new duplicates it</x:v>
      </x:c>
    </x:row>
    <x:row r="93">
      <x:c r="A93" s="9" t="str">
        <x:v>RUN-G-037</x:v>
      </x:c>
      <x:c r="B93" s="9" t="str">
        <x:v>NAV-011</x:v>
      </x:c>
      <x:c r="C93" s="9" t="str">
        <x:v>REGRESSION</x:v>
      </x:c>
      <x:c r="D93" s="9" t="str">
        <x:v>1.2.3+156</x:v>
      </x:c>
      <x:c r="E93" s="9" t="str">
        <x:v>desktop staff</x:v>
      </x:c>
      <x:c r="F93" s="9" t="str">
        <x:v>Flutter</x:v>
      </x:c>
      <x:c r="G93" s="9" t="str">
        <x:v>account scoped</x:v>
      </x:c>
      <x:c r="H93" s="9" t="str">
        <x:v>2026-08-06</x:v>
      </x:c>
      <x:c r="I93" s="9" t="str">
        <x:v>PASS</x:v>
      </x:c>
      <x:c r="J93" s="9" t="str">
        <x:v>Post-fix acceptance passed for Workspace restart restore: 1 exact named test(s) matched and passed on build 1.2.3+156.</x:v>
      </x:c>
      <x:c r="K93" s="9" t="str">
        <x:v>evidence/flutter-test-machine-final-156.ndjson</x:v>
      </x:c>
      <x:c r="L93" s="9" t="str"/>
      <x:c r="M93" s="9" t="str">
        <x:v>Codex</x:v>
      </x:c>
      <x:c r="N93" s="9" t="str">
        <x:v>Flutter: test/features/v6/production_workspace_mount_test.dart :: restart restores permitted tabs and logout clears cache</x:v>
      </x:c>
    </x:row>
    <x:row r="94">
      <x:c r="A94" s="9" t="str">
        <x:v>RUN-G-038</x:v>
      </x:c>
      <x:c r="B94" s="9" t="str">
        <x:v>NAV-012</x:v>
      </x:c>
      <x:c r="C94" s="9" t="str">
        <x:v>REGRESSION</x:v>
      </x:c>
      <x:c r="D94" s="9" t="str">
        <x:v>1.2.3+156</x:v>
      </x:c>
      <x:c r="E94" s="9" t="str">
        <x:v>desktop staff</x:v>
      </x:c>
      <x:c r="F94" s="9" t="str">
        <x:v>Flutter</x:v>
      </x:c>
      <x:c r="G94" s="9" t="str">
        <x:v>account isolation</x:v>
      </x:c>
      <x:c r="H94" s="9" t="str">
        <x:v>2026-08-06</x:v>
      </x:c>
      <x:c r="I94" s="9" t="str">
        <x:v>PASS</x:v>
      </x:c>
      <x:c r="J94" s="9" t="str">
        <x:v>Post-fix acceptance passed for Workspace logout clear: 1 exact named test(s) matched and passed on build 1.2.3+156.</x:v>
      </x:c>
      <x:c r="K94" s="9" t="str">
        <x:v>evidence/flutter-test-machine-final-156.ndjson</x:v>
      </x:c>
      <x:c r="L94" s="9" t="str"/>
      <x:c r="M94" s="9" t="str">
        <x:v>Codex</x:v>
      </x:c>
      <x:c r="N94" s="9" t="str">
        <x:v>Flutter: test/features/v4/workspace_persistence_logout_test.dart :: global logout clears two windows and persisted state under 2 seconds</x:v>
      </x:c>
    </x:row>
    <x:row r="95">
      <x:c r="A95" s="9" t="str">
        <x:v>RUN-G-039</x:v>
      </x:c>
      <x:c r="B95" s="9" t="str">
        <x:v>NAV-013</x:v>
      </x:c>
      <x:c r="C95" s="9" t="str">
        <x:v>REGRESSION</x:v>
      </x:c>
      <x:c r="D95" s="9" t="str">
        <x:v>1.2.3+156</x:v>
      </x:c>
      <x:c r="E95" s="9" t="str">
        <x:v>desktop staff</x:v>
      </x:c>
      <x:c r="F95" s="9" t="str">
        <x:v>Flutter</x:v>
      </x:c>
      <x:c r="G95" s="9" t="str">
        <x:v>current tab</x:v>
      </x:c>
      <x:c r="H95" s="9" t="str">
        <x:v>2026-08-06</x:v>
      </x:c>
      <x:c r="I95" s="9" t="str">
        <x:v>PASS</x:v>
      </x:c>
      <x:c r="J95" s="9" t="str">
        <x:v>Post-fix acceptance passed for Per-tab Back/Forward: 1 exact named test(s) matched and passed on build 1.2.3+156.</x:v>
      </x:c>
      <x:c r="K95" s="9" t="str">
        <x:v>evidence/flutter-test-machine-final-156.ndjson</x:v>
      </x:c>
      <x:c r="L95" s="9" t="str"/>
      <x:c r="M95" s="9" t="str">
        <x:v>Codex</x:v>
      </x:c>
      <x:c r="N95" s="9" t="str">
        <x:v>Flutter: test/features/v6/desktop_context_bar_test.dart :: ancestor, Back and Forward stay inside the active tab</x:v>
      </x:c>
    </x:row>
    <x:row r="96">
      <x:c r="A96" s="9" t="str">
        <x:v>RUN-G-040</x:v>
      </x:c>
      <x:c r="B96" s="9" t="str">
        <x:v>NAV-014</x:v>
      </x:c>
      <x:c r="C96" s="9" t="str">
        <x:v>REGRESSION</x:v>
      </x:c>
      <x:c r="D96" s="9" t="str">
        <x:v>1.2.3+156</x:v>
      </x:c>
      <x:c r="E96" s="9" t="str">
        <x:v>mobile пользователь</x:v>
      </x:c>
      <x:c r="F96" s="9" t="str">
        <x:v>Flutter</x:v>
      </x:c>
      <x:c r="G96" s="9" t="str">
        <x:v>current route</x:v>
      </x:c>
      <x:c r="H96" s="9" t="str">
        <x:v>2026-08-06</x:v>
      </x:c>
      <x:c r="I96" s="9" t="str">
        <x:v>PASS</x:v>
      </x:c>
      <x:c r="J96" s="9" t="str">
        <x:v>Post-fix acceptance passed for Compact Back: 1 exact named test(s) matched and passed on build 1.2.3+156.</x:v>
      </x:c>
      <x:c r="K96" s="9" t="str">
        <x:v>evidence/flutter-test-machine-final-156.ndjson</x:v>
      </x:c>
      <x:c r="L96" s="9" t="str"/>
      <x:c r="M96" s="9" t="str">
        <x:v>Codex</x:v>
      </x:c>
      <x:c r="N96" s="9" t="str">
        <x:v>Flutter: test/core/navigation/app_back_policy_test.dart :: partial and full mobile sheets both dismiss before the page</x:v>
      </x:c>
    </x:row>
    <x:row r="97">
      <x:c r="A97" s="9" t="str">
        <x:v>RUN-G-041</x:v>
      </x:c>
      <x:c r="B97" s="9" t="str">
        <x:v>NAV-015</x:v>
      </x:c>
      <x:c r="C97" s="9" t="str">
        <x:v>REGRESSION</x:v>
      </x:c>
      <x:c r="D97" s="9" t="str">
        <x:v>1.2.3+156</x:v>
      </x:c>
      <x:c r="E97" s="9" t="str">
        <x:v>пользователь с несохранённой формой</x:v>
      </x:c>
      <x:c r="F97" s="9" t="str">
        <x:v>Flutter</x:v>
      </x:c>
      <x:c r="G97" s="9" t="str">
        <x:v>current editor</x:v>
      </x:c>
      <x:c r="H97" s="9" t="str">
        <x:v>2026-08-06</x:v>
      </x:c>
      <x:c r="I97" s="9" t="str">
        <x:v>PASS</x:v>
      </x:c>
      <x:c r="J97" s="9" t="str">
        <x:v>Post-fix acceptance passed for Dirty editor guard: 1 exact named test(s) matched and passed on build 1.2.3+156.</x:v>
      </x:c>
      <x:c r="K97" s="9" t="str">
        <x:v>evidence/flutter-test-machine-final-156.ndjson</x:v>
      </x:c>
      <x:c r="L97" s="9" t="str"/>
      <x:c r="M97" s="9" t="str">
        <x:v>Codex</x:v>
      </x:c>
      <x:c r="N97" s="9" t="str">
        <x:v>Flutter: test/core/widgets/dirty_form_exit_test.dart :: all exit sources use the same Save Discard Cancel decision</x:v>
      </x:c>
    </x:row>
    <x:row r="98">
      <x:c r="A98" s="9" t="str">
        <x:v>RUN-G-042</x:v>
      </x:c>
      <x:c r="B98" s="9" t="str">
        <x:v>NAV-016</x:v>
      </x:c>
      <x:c r="C98" s="9" t="str">
        <x:v>REGRESSION</x:v>
      </x:c>
      <x:c r="D98" s="9" t="str">
        <x:v>1.2.3+156</x:v>
      </x:c>
      <x:c r="E98" s="9" t="str">
        <x:v>пользователь</x:v>
      </x:c>
      <x:c r="F98" s="9" t="str">
        <x:v>Flutter</x:v>
      </x:c>
      <x:c r="G98" s="9" t="str">
        <x:v>device width</x:v>
      </x:c>
      <x:c r="H98" s="9" t="str">
        <x:v>2026-08-06</x:v>
      </x:c>
      <x:c r="I98" s="9" t="str">
        <x:v>PASS</x:v>
      </x:c>
      <x:c r="J98" s="9" t="str">
        <x:v>Post-fix acceptance passed for Adaptive surface: 1 exact named test(s) matched and passed on build 1.2.3+156.</x:v>
      </x:c>
      <x:c r="K98" s="9" t="str">
        <x:v>evidence/flutter-test-machine-final-156.ndjson</x:v>
      </x:c>
      <x:c r="L98" s="9" t="str"/>
      <x:c r="M98" s="9" t="str">
        <x:v>Codex</x:v>
      </x:c>
      <x:c r="N98" s="9" t="str">
        <x:v>Flutter: test/core/widgets/adaptive_surface_policy_test.dart :: declarative policy covers 360, 600 and 840 widths</x:v>
      </x:c>
    </x:row>
    <x:row r="99">
      <x:c r="A99" s="9" t="str">
        <x:v>RUN-G-043</x:v>
      </x:c>
      <x:c r="B99" s="9" t="str">
        <x:v>NAV-017</x:v>
      </x:c>
      <x:c r="C99" s="9" t="str">
        <x:v>REGRESSION</x:v>
      </x:c>
      <x:c r="D99" s="9" t="str">
        <x:v>1.2.3+156</x:v>
      </x:c>
      <x:c r="E99" s="9" t="str">
        <x:v>пользователь</x:v>
      </x:c>
      <x:c r="F99" s="9" t="str">
        <x:v>Flutter</x:v>
      </x:c>
      <x:c r="G99" s="9" t="str">
        <x:v>actor scoped</x:v>
      </x:c>
      <x:c r="H99" s="9" t="str">
        <x:v>2026-08-06</x:v>
      </x:c>
      <x:c r="I99" s="9" t="str">
        <x:v>PASS</x:v>
      </x:c>
      <x:c r="J99" s="9" t="str">
        <x:v>Post-fix acceptance passed for Routed states: 1 exact named test(s) matched and passed on build 1.2.3+156.</x:v>
      </x:c>
      <x:c r="K99" s="9" t="str">
        <x:v>evidence/flutter-test-machine-final-156.ndjson</x:v>
      </x:c>
      <x:c r="L99" s="9" t="str"/>
      <x:c r="M99" s="9" t="str">
        <x:v>Codex</x:v>
      </x:c>
      <x:c r="N99" s="9" t="str">
        <x:v>Flutter: test/core/widgets/magic_page_state_test.dart :: page states expose retry and concise empty guidance</x:v>
      </x:c>
    </x:row>
    <x:row r="100">
      <x:c r="A100" s="9" t="str">
        <x:v>RUN-G-044</x:v>
      </x:c>
      <x:c r="B100" s="9" t="str">
        <x:v>NAV-018</x:v>
      </x:c>
      <x:c r="C100" s="9" t="str">
        <x:v>REGRESSION</x:v>
      </x:c>
      <x:c r="D100" s="9" t="str">
        <x:v>1.2.3+156</x:v>
      </x:c>
      <x:c r="E100" s="9" t="str">
        <x:v>desktop/assistive пользователь</x:v>
      </x:c>
      <x:c r="F100" s="9" t="str">
        <x:v>Flutter</x:v>
      </x:c>
      <x:c r="G100" s="9" t="str">
        <x:v>accessibility</x:v>
      </x:c>
      <x:c r="H100" s="9" t="str">
        <x:v>2026-08-06</x:v>
      </x:c>
      <x:c r="I100" s="9" t="str">
        <x:v>PASS</x:v>
      </x:c>
      <x:c r="J100" s="9" t="str">
        <x:v>Post-fix acceptance passed for Keyboard and semantics: 1 exact named test(s) matched and passed on build 1.2.3+156.</x:v>
      </x:c>
      <x:c r="K100" s="9" t="str">
        <x:v>evidence/flutter-test-machine-final-156.ndjson</x:v>
      </x:c>
      <x:c r="L100" s="9" t="str"/>
      <x:c r="M100" s="9" t="str">
        <x:v>Codex</x:v>
      </x:c>
      <x:c r="N100" s="9" t="str">
        <x:v>Flutter: test/features/v6/accessibility_inventory_test.dart :: tooltip supplies semantics and Enter activates focus</x:v>
      </x:c>
    </x:row>
    <x:row r="101">
      <x:c r="A101" s="9" t="str">
        <x:v>RUN-G-045</x:v>
      </x:c>
      <x:c r="B101" s="9" t="str">
        <x:v>CHAT-001</x:v>
      </x:c>
      <x:c r="C101" s="9" t="str">
        <x:v>REGRESSION</x:v>
      </x:c>
      <x:c r="D101" s="9" t="str">
        <x:v>1.2.3+156</x:v>
      </x:c>
      <x:c r="E101" s="9" t="str">
        <x:v>пользователь</x:v>
      </x:c>
      <x:c r="F101" s="9" t="str">
        <x:v>Flutter</x:v>
      </x:c>
      <x:c r="G101" s="9" t="str">
        <x:v>actor chat scope</x:v>
      </x:c>
      <x:c r="H101" s="9" t="str">
        <x:v>2026-08-06</x:v>
      </x:c>
      <x:c r="I101" s="9" t="str">
        <x:v>PASS</x:v>
      </x:c>
      <x:c r="J101" s="9" t="str">
        <x:v>Post-fix acceptance passed for Load chats: 1 exact named test(s) matched and passed on build 1.2.3+156.</x:v>
      </x:c>
      <x:c r="K101" s="9" t="str">
        <x:v>evidence/flutter-test-machine-final-156.ndjson</x:v>
      </x:c>
      <x:c r="L101" s="9" t="str"/>
      <x:c r="M101" s="9" t="str">
        <x:v>Codex</x:v>
      </x:c>
      <x:c r="N101" s="9" t="str">
        <x:v>Flutter: test/core/services/magic_messenger_service_test.dart :: MagicMessengerService listChats follows keyset pages, preserves filters, and deduplicates ids</x:v>
      </x:c>
    </x:row>
    <x:row r="102">
      <x:c r="A102" s="9" t="str">
        <x:v>RUN-G-046</x:v>
      </x:c>
      <x:c r="B102" s="9" t="str">
        <x:v>CHAT-002</x:v>
      </x:c>
      <x:c r="C102" s="9" t="str">
        <x:v>REGRESSION</x:v>
      </x:c>
      <x:c r="D102" s="9" t="str">
        <x:v>1.2.3+156</x:v>
      </x:c>
      <x:c r="E102" s="9" t="str">
        <x:v>пользователь</x:v>
      </x:c>
      <x:c r="F102" s="9" t="str">
        <x:v>Flutter</x:v>
      </x:c>
      <x:c r="G102" s="9" t="str">
        <x:v>actor chat scope</x:v>
      </x:c>
      <x:c r="H102" s="9" t="str">
        <x:v>2026-08-06</x:v>
      </x:c>
      <x:c r="I102" s="9" t="str">
        <x:v>PASS</x:v>
      </x:c>
      <x:c r="J102" s="9" t="str">
        <x:v>Post-fix acceptance passed for Chat search typing: 1 exact named test(s) matched and passed on build 1.2.3+156.</x:v>
      </x:c>
      <x:c r="K102" s="9" t="str">
        <x:v>evidence/flutter-test-machine-final-156.ndjson</x:v>
      </x:c>
      <x:c r="L102" s="9" t="str"/>
      <x:c r="M102" s="9" t="str">
        <x:v>Codex</x:v>
      </x:c>
      <x:c r="N102" s="9" t="str">
        <x:v>Flutter: test/features/messenger/inbox_logic_test.dart :: chat search filters each typed prefix without mutating the source</x:v>
      </x:c>
    </x:row>
    <x:row r="103">
      <x:c r="A103" s="9" t="str">
        <x:v>RUN-G-047</x:v>
      </x:c>
      <x:c r="B103" s="9" t="str">
        <x:v>CHAT-003</x:v>
      </x:c>
      <x:c r="C103" s="9" t="str">
        <x:v>REGRESSION</x:v>
      </x:c>
      <x:c r="D103" s="9" t="str">
        <x:v>1.2.3+156</x:v>
      </x:c>
      <x:c r="E103" s="9" t="str">
        <x:v>staff пользователь</x:v>
      </x:c>
      <x:c r="F103" s="9" t="str">
        <x:v>Flutter</x:v>
      </x:c>
      <x:c r="G103" s="9" t="str">
        <x:v>staff only</x:v>
      </x:c>
      <x:c r="H103" s="9" t="str">
        <x:v>2026-08-06</x:v>
      </x:c>
      <x:c r="I103" s="9" t="str">
        <x:v>PASS</x:v>
      </x:c>
      <x:c r="J103" s="9" t="str">
        <x:v>Post-fix acceptance passed for Staff folders: 1 exact named test(s) matched and passed on build 1.2.3+156.</x:v>
      </x:c>
      <x:c r="K103" s="9" t="str">
        <x:v>evidence/flutter-test-machine-final-156.ndjson</x:v>
      </x:c>
      <x:c r="L103" s="9" t="str"/>
      <x:c r="M103" s="9" t="str">
        <x:v>Codex</x:v>
      </x:c>
      <x:c r="N103" s="9" t="str">
        <x:v>Flutter: test/features/messenger/inbox_logic_test.dart :: showInboxFolders: true for manager, admin, system_admin</x:v>
      </x:c>
    </x:row>
    <x:row r="104">
      <x:c r="A104" s="9" t="str">
        <x:v>RUN-G-048</x:v>
      </x:c>
      <x:c r="B104" s="9" t="str">
        <x:v>CHAT-004</x:v>
      </x:c>
      <x:c r="C104" s="9" t="str">
        <x:v>REGRESSION</x:v>
      </x:c>
      <x:c r="D104" s="9" t="str">
        <x:v>1.2.3+156</x:v>
      </x:c>
      <x:c r="E104" s="9" t="str">
        <x:v>staff пользователь</x:v>
      </x:c>
      <x:c r="F104" s="9" t="str">
        <x:v>Flutter</x:v>
      </x:c>
      <x:c r="G104" s="9" t="str">
        <x:v>assigned branches</x:v>
      </x:c>
      <x:c r="H104" s="9" t="str">
        <x:v>2026-08-06</x:v>
      </x:c>
      <x:c r="I104" s="9" t="str">
        <x:v>PASS</x:v>
      </x:c>
      <x:c r="J104" s="9" t="str">
        <x:v>Post-fix acceptance passed for Branch filter: 1 exact named test(s) matched and passed on build 1.2.3+156.</x:v>
      </x:c>
      <x:c r="K104" s="9" t="str">
        <x:v>evidence/flutter-test-machine-final-156.ndjson</x:v>
      </x:c>
      <x:c r="L104" s="9" t="str"/>
      <x:c r="M104" s="9" t="str">
        <x:v>Codex</x:v>
      </x:c>
      <x:c r="N104" s="9" t="str">
        <x:v>Flutter: test/features/messenger/inbox_logic_test.dart :: branch filter scopes administration only and preserves non-inbox</x:v>
      </x:c>
    </x:row>
    <x:row r="105">
      <x:c r="A105" s="9" t="str">
        <x:v>RUN-G-049</x:v>
      </x:c>
      <x:c r="B105" s="9" t="str">
        <x:v>CHAT-005</x:v>
      </x:c>
      <x:c r="C105" s="9" t="str">
        <x:v>REGRESSION</x:v>
      </x:c>
      <x:c r="D105" s="9" t="str">
        <x:v>1.2.3+156</x:v>
      </x:c>
      <x:c r="E105" s="9" t="str">
        <x:v>пользователь</x:v>
      </x:c>
      <x:c r="F105" s="9" t="str">
        <x:v>Flutter</x:v>
      </x:c>
      <x:c r="G105" s="9" t="str">
        <x:v>actor chat scope</x:v>
      </x:c>
      <x:c r="H105" s="9" t="str">
        <x:v>2026-08-06</x:v>
      </x:c>
      <x:c r="I105" s="9" t="str">
        <x:v>PASS</x:v>
      </x:c>
      <x:c r="J105" s="9" t="str">
        <x:v>Post-fix acceptance passed for Pinned ordering: 1 exact named test(s) matched and passed on build 1.2.3+156.</x:v>
      </x:c>
      <x:c r="K105" s="9" t="str">
        <x:v>evidence/flutter-test-machine-final-156.ndjson</x:v>
      </x:c>
      <x:c r="L105" s="9" t="str"/>
      <x:c r="M105" s="9" t="str">
        <x:v>Codex</x:v>
      </x:c>
      <x:c r="N105" s="9" t="str">
        <x:v>Flutter: test/features/messenger/inbox_logic_test.dart :: pinned chats sort first and keep newest activity order</x:v>
      </x:c>
    </x:row>
    <x:row r="106">
      <x:c r="A106" s="9" t="str">
        <x:v>RUN-G-050</x:v>
      </x:c>
      <x:c r="B106" s="9" t="str">
        <x:v>CHAT-006</x:v>
      </x:c>
      <x:c r="C106" s="9" t="str">
        <x:v>REGRESSION</x:v>
      </x:c>
      <x:c r="D106" s="9" t="str">
        <x:v>1.2.3+156</x:v>
      </x:c>
      <x:c r="E106" s="9" t="str">
        <x:v>пользователь</x:v>
      </x:c>
      <x:c r="F106" s="9" t="str">
        <x:v>Server</x:v>
      </x:c>
      <x:c r="G106" s="9" t="str">
        <x:v>chat membership</x:v>
      </x:c>
      <x:c r="H106" s="9" t="str">
        <x:v>2026-08-06</x:v>
      </x:c>
      <x:c r="I106" s="9" t="str">
        <x:v>PASS</x:v>
      </x:c>
      <x:c r="J106" s="9" t="str">
        <x:v>Post-fix acceptance passed for Open chat: 1 exact named test(s) matched and passed on build 1.2.3+156.</x:v>
      </x:c>
      <x:c r="K106" s="9" t="str">
        <x:v>evidence/server-test-json-final-156.json</x:v>
      </x:c>
      <x:c r="L106" s="9" t="str"/>
      <x:c r="M106" s="9" t="str">
        <x:v>Codex</x:v>
      </x:c>
      <x:c r="N106" s="9" t="str">
        <x:v>Server: server/src/messenger/messenger.policy.spec.ts :: MessengerPolicy allows chat members to read their own chat</x:v>
      </x:c>
    </x:row>
    <x:row r="107">
      <x:c r="A107" s="9" t="str">
        <x:v>RUN-G-051</x:v>
      </x:c>
      <x:c r="B107" s="9" t="str">
        <x:v>CHAT-007</x:v>
      </x:c>
      <x:c r="C107" s="9" t="str">
        <x:v>REGRESSION</x:v>
      </x:c>
      <x:c r="D107" s="9" t="str">
        <x:v>1.2.3+156</x:v>
      </x:c>
      <x:c r="E107" s="9" t="str">
        <x:v>пользователь</x:v>
      </x:c>
      <x:c r="F107" s="9" t="str">
        <x:v>Flutter</x:v>
      </x:c>
      <x:c r="G107" s="9" t="str">
        <x:v>per policy</x:v>
      </x:c>
      <x:c r="H107" s="9" t="str">
        <x:v>2026-08-06</x:v>
      </x:c>
      <x:c r="I107" s="9" t="str">
        <x:v>PASS</x:v>
      </x:c>
      <x:c r="J107" s="9" t="str">
        <x:v>Post-fix acceptance passed for Create direct chat: 1 exact named test(s) matched and passed on build 1.2.3+156.</x:v>
      </x:c>
      <x:c r="K107" s="9" t="str">
        <x:v>evidence/flutter-test-machine-final-156.ndjson</x:v>
      </x:c>
      <x:c r="L107" s="9" t="str"/>
      <x:c r="M107" s="9" t="str">
        <x:v>Codex</x:v>
      </x:c>
      <x:c r="N107" s="9" t="str">
        <x:v>Flutter: test/core/services/magic_messenger_service_test.dart :: MagicMessengerService creates direct chat and maps chat summary to legacy keys</x:v>
      </x:c>
    </x:row>
    <x:row r="108">
      <x:c r="A108" s="9" t="str">
        <x:v>RUN-G-052</x:v>
      </x:c>
      <x:c r="B108" s="9" t="str">
        <x:v>CHAT-008</x:v>
      </x:c>
      <x:c r="C108" s="9" t="str">
        <x:v>REGRESSION</x:v>
      </x:c>
      <x:c r="D108" s="9" t="str">
        <x:v>1.2.3+156</x:v>
      </x:c>
      <x:c r="E108" s="9" t="str">
        <x:v>staff пользователь</x:v>
      </x:c>
      <x:c r="F108" s="9" t="str">
        <x:v>Flutter</x:v>
      </x:c>
      <x:c r="G108" s="9" t="str">
        <x:v>staff/member policy</x:v>
      </x:c>
      <x:c r="H108" s="9" t="str">
        <x:v>2026-08-06</x:v>
      </x:c>
      <x:c r="I108" s="9" t="str">
        <x:v>PASS</x:v>
      </x:c>
      <x:c r="J108" s="9" t="str">
        <x:v>Post-fix acceptance passed for Create group: 1 exact named test(s) matched and passed on build 1.2.3+156.</x:v>
      </x:c>
      <x:c r="K108" s="9" t="str">
        <x:v>evidence/flutter-test-machine-final-156.ndjson</x:v>
      </x:c>
      <x:c r="L108" s="9" t="str"/>
      <x:c r="M108" s="9" t="str">
        <x:v>Codex</x:v>
      </x:c>
      <x:c r="N108" s="9" t="str">
        <x:v>Flutter: test/core/services/magic_messenger_service_test.dart :: MagicMessengerService creates groups and updates members through v3 API</x:v>
      </x:c>
    </x:row>
    <x:row r="109">
      <x:c r="A109" s="9" t="str">
        <x:v>RUN-G-053</x:v>
      </x:c>
      <x:c r="B109" s="9" t="str">
        <x:v>CHAT-009</x:v>
      </x:c>
      <x:c r="C109" s="9" t="str">
        <x:v>REGRESSION</x:v>
      </x:c>
      <x:c r="D109" s="9" t="str">
        <x:v>1.2.3+156</x:v>
      </x:c>
      <x:c r="E109" s="9" t="str">
        <x:v>group manager</x:v>
      </x:c>
      <x:c r="F109" s="9" t="str">
        <x:v>Flutter</x:v>
      </x:c>
      <x:c r="G109" s="9" t="str">
        <x:v>group policy</x:v>
      </x:c>
      <x:c r="H109" s="9" t="str">
        <x:v>2026-08-06</x:v>
      </x:c>
      <x:c r="I109" s="9" t="str">
        <x:v>PASS</x:v>
      </x:c>
      <x:c r="J109" s="9" t="str">
        <x:v>Post-fix acceptance passed for Edit group members: 1 exact named test(s) matched and passed on build 1.2.3+156.</x:v>
      </x:c>
      <x:c r="K109" s="9" t="str">
        <x:v>evidence/flutter-test-machine-final-156.ndjson</x:v>
      </x:c>
      <x:c r="L109" s="9" t="str"/>
      <x:c r="M109" s="9" t="str">
        <x:v>Codex</x:v>
      </x:c>
      <x:c r="N109" s="9" t="str">
        <x:v>Flutter: test/core/services/magic_messenger_service_test.dart :: MagicMessengerService creates groups and updates members through v3 API</x:v>
      </x:c>
    </x:row>
    <x:row r="110">
      <x:c r="A110" s="9" t="str">
        <x:v>RUN-G-054</x:v>
      </x:c>
      <x:c r="B110" s="9" t="str">
        <x:v>CHAT-010</x:v>
      </x:c>
      <x:c r="C110" s="9" t="str">
        <x:v>REGRESSION</x:v>
      </x:c>
      <x:c r="D110" s="9" t="str">
        <x:v>1.2.3+156</x:v>
      </x:c>
      <x:c r="E110" s="9" t="str">
        <x:v>участник группы</x:v>
      </x:c>
      <x:c r="F110" s="9" t="str">
        <x:v>Flutter</x:v>
      </x:c>
      <x:c r="G110" s="9" t="str">
        <x:v>self membership</x:v>
      </x:c>
      <x:c r="H110" s="9" t="str">
        <x:v>2026-08-06</x:v>
      </x:c>
      <x:c r="I110" s="9" t="str">
        <x:v>PASS</x:v>
      </x:c>
      <x:c r="J110" s="9" t="str">
        <x:v>Post-fix acceptance passed for Leave group: 1 exact named test(s) matched and passed on build 1.2.3+156.</x:v>
      </x:c>
      <x:c r="K110" s="9" t="str">
        <x:v>evidence/flutter-test-machine-final-156.ndjson</x:v>
      </x:c>
      <x:c r="L110" s="9" t="str"/>
      <x:c r="M110" s="9" t="str">
        <x:v>Codex</x:v>
      </x:c>
      <x:c r="N110" s="9" t="str">
        <x:v>Flutter: test/core/services/magic_messenger_service_test.dart :: MagicMessengerService leaveGroup posts to groups/:id/leave</x:v>
      </x:c>
    </x:row>
    <x:row r="111">
      <x:c r="A111" s="9" t="str">
        <x:v>RUN-G-055</x:v>
      </x:c>
      <x:c r="B111" s="9" t="str">
        <x:v>CHAT-011</x:v>
      </x:c>
      <x:c r="C111" s="9" t="str">
        <x:v>REGRESSION</x:v>
      </x:c>
      <x:c r="D111" s="9" t="str">
        <x:v>1.2.3+156</x:v>
      </x:c>
      <x:c r="E111" s="9" t="str">
        <x:v>участник chat</x:v>
      </x:c>
      <x:c r="F111" s="9" t="str">
        <x:v>Flutter</x:v>
      </x:c>
      <x:c r="G111" s="9" t="str">
        <x:v>chat write</x:v>
      </x:c>
      <x:c r="H111" s="9" t="str">
        <x:v>2026-08-06</x:v>
      </x:c>
      <x:c r="I111" s="9" t="str">
        <x:v>PASS</x:v>
      </x:c>
      <x:c r="J111" s="9" t="str">
        <x:v>Post-fix acceptance passed for Send text: 1 exact named test(s) matched and passed on build 1.2.3+156.</x:v>
      </x:c>
      <x:c r="K111" s="9" t="str">
        <x:v>evidence/flutter-test-machine-final-156.ndjson</x:v>
      </x:c>
      <x:c r="L111" s="9" t="str"/>
      <x:c r="M111" s="9" t="str">
        <x:v>Codex</x:v>
      </x:c>
      <x:c r="N111" s="9" t="str">
        <x:v>Flutter: test/core/services/magic_messenger_service_test.dart :: MagicMessengerService sends text message and marks chat as read</x:v>
      </x:c>
    </x:row>
    <x:row r="112">
      <x:c r="A112" s="9" t="str">
        <x:v>RUN-G-056</x:v>
      </x:c>
      <x:c r="B112" s="9" t="str">
        <x:v>CHAT-012</x:v>
      </x:c>
      <x:c r="C112" s="9" t="str">
        <x:v>REGRESSION</x:v>
      </x:c>
      <x:c r="D112" s="9" t="str">
        <x:v>1.2.3+156</x:v>
      </x:c>
      <x:c r="E112" s="9" t="str">
        <x:v>участник chat</x:v>
      </x:c>
      <x:c r="F112" s="9" t="str">
        <x:v>Flutter</x:v>
      </x:c>
      <x:c r="G112" s="9" t="str">
        <x:v>chat write</x:v>
      </x:c>
      <x:c r="H112" s="9" t="str">
        <x:v>2026-08-06</x:v>
      </x:c>
      <x:c r="I112" s="9" t="str">
        <x:v>PASS</x:v>
      </x:c>
      <x:c r="J112" s="9" t="str">
        <x:v>Post-fix acceptance passed for Reply: 1 exact named test(s) matched and passed on build 1.2.3+156.</x:v>
      </x:c>
      <x:c r="K112" s="9" t="str">
        <x:v>evidence/flutter-test-machine-final-156.ndjson</x:v>
      </x:c>
      <x:c r="L112" s="9" t="str"/>
      <x:c r="M112" s="9" t="str">
        <x:v>Codex</x:v>
      </x:c>
      <x:c r="N112" s="9" t="str">
        <x:v>Flutter: test/core/services/magic_messenger_service_test.dart :: MagicMessengerService sends a reply with the selected source message id</x:v>
      </x:c>
    </x:row>
    <x:row r="113">
      <x:c r="A113" s="9" t="str">
        <x:v>RUN-G-057</x:v>
      </x:c>
      <x:c r="B113" s="9" t="str">
        <x:v>CHAT-013</x:v>
      </x:c>
      <x:c r="C113" s="9" t="str">
        <x:v>REGRESSION</x:v>
      </x:c>
      <x:c r="D113" s="9" t="str">
        <x:v>1.2.3+156</x:v>
      </x:c>
      <x:c r="E113" s="9" t="str">
        <x:v>участник chat</x:v>
      </x:c>
      <x:c r="F113" s="9" t="str">
        <x:v>Flutter</x:v>
      </x:c>
      <x:c r="G113" s="9" t="str">
        <x:v>source read + target write</x:v>
      </x:c>
      <x:c r="H113" s="9" t="str">
        <x:v>2026-08-06</x:v>
      </x:c>
      <x:c r="I113" s="9" t="str">
        <x:v>PASS</x:v>
      </x:c>
      <x:c r="J113" s="9" t="str">
        <x:v>Post-fix acceptance passed for Forward: 1 exact named test(s) matched and passed on build 1.2.3+156.</x:v>
      </x:c>
      <x:c r="K113" s="9" t="str">
        <x:v>evidence/flutter-test-machine-final-156.ndjson</x:v>
      </x:c>
      <x:c r="L113" s="9" t="str"/>
      <x:c r="M113" s="9" t="str">
        <x:v>Codex</x:v>
      </x:c>
      <x:c r="N113" s="9" t="str">
        <x:v>Flutter: test/core/services/magic_messenger_service_test.dart :: MagicMessengerService uses v3 edit, moderation, pin and reaction endpoints</x:v>
      </x:c>
    </x:row>
    <x:row r="114">
      <x:c r="A114" s="9" t="str">
        <x:v>RUN-G-058</x:v>
      </x:c>
      <x:c r="B114" s="9" t="str">
        <x:v>CHAT-014</x:v>
      </x:c>
      <x:c r="C114" s="9" t="str">
        <x:v>REGRESSION</x:v>
      </x:c>
      <x:c r="D114" s="9" t="str">
        <x:v>1.2.3+156</x:v>
      </x:c>
      <x:c r="E114" s="9" t="str">
        <x:v>автор сообщения</x:v>
      </x:c>
      <x:c r="F114" s="9" t="str">
        <x:v>Flutter</x:v>
      </x:c>
      <x:c r="G114" s="9" t="str">
        <x:v>message owner/policy</x:v>
      </x:c>
      <x:c r="H114" s="9" t="str">
        <x:v>2026-08-06</x:v>
      </x:c>
      <x:c r="I114" s="9" t="str">
        <x:v>PASS</x:v>
      </x:c>
      <x:c r="J114" s="9" t="str">
        <x:v>Post-fix acceptance passed for Edit message: 1 exact named test(s) matched and passed on build 1.2.3+156.</x:v>
      </x:c>
      <x:c r="K114" s="9" t="str">
        <x:v>evidence/flutter-test-machine-final-156.ndjson</x:v>
      </x:c>
      <x:c r="L114" s="9" t="str"/>
      <x:c r="M114" s="9" t="str">
        <x:v>Codex</x:v>
      </x:c>
      <x:c r="N114" s="9" t="str">
        <x:v>Flutter: test/core/services/magic_messenger_service_test.dart :: MagicMessengerService uses v3 edit, moderation, pin and reaction endpoints</x:v>
      </x:c>
    </x:row>
    <x:row r="115">
      <x:c r="A115" s="9" t="str">
        <x:v>RUN-G-059</x:v>
      </x:c>
      <x:c r="B115" s="9" t="str">
        <x:v>CHAT-015</x:v>
      </x:c>
      <x:c r="C115" s="9" t="str">
        <x:v>REGRESSION</x:v>
      </x:c>
      <x:c r="D115" s="9" t="str">
        <x:v>1.2.3+156</x:v>
      </x:c>
      <x:c r="E115" s="9" t="str">
        <x:v>разрешённый пользователь</x:v>
      </x:c>
      <x:c r="F115" s="9" t="str">
        <x:v>Server</x:v>
      </x:c>
      <x:c r="G115" s="9" t="str">
        <x:v>message owner/moderator</x:v>
      </x:c>
      <x:c r="H115" s="9" t="str">
        <x:v>2026-08-06</x:v>
      </x:c>
      <x:c r="I115" s="9" t="str">
        <x:v>PASS</x:v>
      </x:c>
      <x:c r="J115" s="9" t="str">
        <x:v>Post-fix acceptance passed for Delete message: 1 exact named test(s) matched and passed on build 1.2.3+156.</x:v>
      </x:c>
      <x:c r="K115" s="9" t="str">
        <x:v>evidence/server-test-json-final-156.json</x:v>
      </x:c>
      <x:c r="L115" s="9" t="str"/>
      <x:c r="M115" s="9" t="str">
        <x:v>Codex</x:v>
      </x:c>
      <x:c r="N115" s="9" t="str">
        <x:v>Server: server/src/messenger/message.service.spec.ts :: MessageService staff-identity masking on message.updated realtime paths deleteMessage masks senderId for a STAFF author in an administration chat</x:v>
      </x:c>
    </x:row>
    <x:row r="116">
      <x:c r="A116" s="9" t="str">
        <x:v>RUN-G-060</x:v>
      </x:c>
      <x:c r="B116" s="9" t="str">
        <x:v>CHAT-016</x:v>
      </x:c>
      <x:c r="C116" s="9" t="str">
        <x:v>REGRESSION</x:v>
      </x:c>
      <x:c r="D116" s="9" t="str">
        <x:v>1.2.3+156</x:v>
      </x:c>
      <x:c r="E116" s="9" t="str">
        <x:v>участник chat</x:v>
      </x:c>
      <x:c r="F116" s="9" t="str">
        <x:v>Server</x:v>
      </x:c>
      <x:c r="G116" s="9" t="str">
        <x:v>chat write/file limits</x:v>
      </x:c>
      <x:c r="H116" s="9" t="str">
        <x:v>2026-08-06</x:v>
      </x:c>
      <x:c r="I116" s="9" t="str">
        <x:v>PASS</x:v>
      </x:c>
      <x:c r="J116" s="9" t="str">
        <x:v>Post-fix acceptance passed for Upload attachment: 1 exact named test(s) matched and passed on build 1.2.3+156.</x:v>
      </x:c>
      <x:c r="K116" s="9" t="str">
        <x:v>evidence/server-test-json-final-156.json</x:v>
      </x:c>
      <x:c r="L116" s="9" t="str"/>
      <x:c r="M116" s="9" t="str">
        <x:v>Codex</x:v>
      </x:c>
      <x:c r="N116" s="9" t="str">
        <x:v>Server: server/src/messenger/messenger.service.spec.ts :: MessengerService rejects message attachmentFileId that is not an active chat attachment for the chat</x:v>
      </x:c>
    </x:row>
    <x:row r="117">
      <x:c r="A117" s="9" t="str">
        <x:v>RUN-G-061</x:v>
      </x:c>
      <x:c r="B117" s="9" t="str">
        <x:v>CHAT-017</x:v>
      </x:c>
      <x:c r="C117" s="9" t="str">
        <x:v>REGRESSION</x:v>
      </x:c>
      <x:c r="D117" s="9" t="str">
        <x:v>1.2.3+156</x:v>
      </x:c>
      <x:c r="E117" s="9" t="str">
        <x:v>участник chat</x:v>
      </x:c>
      <x:c r="F117" s="9" t="str">
        <x:v>Flutter</x:v>
      </x:c>
      <x:c r="G117" s="9" t="str">
        <x:v>chat write/media permissions</x:v>
      </x:c>
      <x:c r="H117" s="9" t="str">
        <x:v>2026-08-06</x:v>
      </x:c>
      <x:c r="I117" s="9" t="str">
        <x:v>PASS</x:v>
      </x:c>
      <x:c r="J117" s="9" t="str">
        <x:v>Post-fix acceptance passed for Voice message: 1 exact named test(s) matched and passed on build 1.2.3+156.</x:v>
      </x:c>
      <x:c r="K117" s="9" t="str">
        <x:v>evidence/flutter-test-machine-final-156.ndjson</x:v>
      </x:c>
      <x:c r="L117" s="9" t="str"/>
      <x:c r="M117" s="9" t="str">
        <x:v>Codex</x:v>
      </x:c>
      <x:c r="N117" s="9" t="str">
        <x:v>Flutter: test/core/services/chat_attachment_service_test.dart :: uploads voice messages with chat_voice purpose</x:v>
      </x:c>
    </x:row>
    <x:row r="118">
      <x:c r="A118" s="9" t="str">
        <x:v>RUN-G-062</x:v>
      </x:c>
      <x:c r="B118" s="9" t="str">
        <x:v>CHAT-018</x:v>
      </x:c>
      <x:c r="C118" s="9" t="str">
        <x:v>REGRESSION</x:v>
      </x:c>
      <x:c r="D118" s="9" t="str">
        <x:v>1.2.3+156</x:v>
      </x:c>
      <x:c r="E118" s="9" t="str">
        <x:v>участник chat</x:v>
      </x:c>
      <x:c r="F118" s="9" t="str">
        <x:v>Flutter</x:v>
      </x:c>
      <x:c r="G118" s="9" t="str">
        <x:v>chat member</x:v>
      </x:c>
      <x:c r="H118" s="9" t="str">
        <x:v>2026-08-06</x:v>
      </x:c>
      <x:c r="I118" s="9" t="str">
        <x:v>PASS</x:v>
      </x:c>
      <x:c r="J118" s="9" t="str">
        <x:v>Post-fix acceptance passed for Add reaction: 1 exact named test(s) matched and passed on build 1.2.3+156.</x:v>
      </x:c>
      <x:c r="K118" s="9" t="str">
        <x:v>evidence/flutter-test-machine-final-156.ndjson</x:v>
      </x:c>
      <x:c r="L118" s="9" t="str"/>
      <x:c r="M118" s="9" t="str">
        <x:v>Codex</x:v>
      </x:c>
      <x:c r="N118" s="9" t="str">
        <x:v>Flutter: test/core/services/magic_messenger_service_test.dart :: MagicMessengerService uses v3 edit, moderation, pin and reaction endpoints</x:v>
      </x:c>
    </x:row>
    <x:row r="119">
      <x:c r="A119" s="9" t="str">
        <x:v>RUN-G-063</x:v>
      </x:c>
      <x:c r="B119" s="9" t="str">
        <x:v>CHAT-019</x:v>
      </x:c>
      <x:c r="C119" s="9" t="str">
        <x:v>REGRESSION</x:v>
      </x:c>
      <x:c r="D119" s="9" t="str">
        <x:v>1.2.3+156</x:v>
      </x:c>
      <x:c r="E119" s="9" t="str">
        <x:v>участник chat</x:v>
      </x:c>
      <x:c r="F119" s="9" t="str">
        <x:v>Flutter</x:v>
      </x:c>
      <x:c r="G119" s="9" t="str">
        <x:v>self reaction</x:v>
      </x:c>
      <x:c r="H119" s="9" t="str">
        <x:v>2026-08-06</x:v>
      </x:c>
      <x:c r="I119" s="9" t="str">
        <x:v>PASS</x:v>
      </x:c>
      <x:c r="J119" s="9" t="str">
        <x:v>Post-fix acceptance passed for Remove reaction: 1 exact named test(s) matched and passed on build 1.2.3+156.</x:v>
      </x:c>
      <x:c r="K119" s="9" t="str">
        <x:v>evidence/flutter-test-machine-final-156.ndjson</x:v>
      </x:c>
      <x:c r="L119" s="9" t="str"/>
      <x:c r="M119" s="9" t="str">
        <x:v>Codex</x:v>
      </x:c>
      <x:c r="N119" s="9" t="str">
        <x:v>Flutter: test/core/services/magic_messenger_service_test.dart :: MagicMessengerService uses v3 edit, moderation, pin and reaction endpoints</x:v>
      </x:c>
    </x:row>
    <x:row r="120">
      <x:c r="A120" s="9" t="str">
        <x:v>RUN-G-064</x:v>
      </x:c>
      <x:c r="B120" s="9" t="str">
        <x:v>CHAT-020</x:v>
      </x:c>
      <x:c r="C120" s="9" t="str">
        <x:v>REGRESSION</x:v>
      </x:c>
      <x:c r="D120" s="9" t="str">
        <x:v>1.2.3+156</x:v>
      </x:c>
      <x:c r="E120" s="9" t="str">
        <x:v>разрешённый участник</x:v>
      </x:c>
      <x:c r="F120" s="9" t="str">
        <x:v>Server</x:v>
      </x:c>
      <x:c r="G120" s="9" t="str">
        <x:v>chat policy</x:v>
      </x:c>
      <x:c r="H120" s="9" t="str">
        <x:v>2026-08-06</x:v>
      </x:c>
      <x:c r="I120" s="9" t="str">
        <x:v>PASS</x:v>
      </x:c>
      <x:c r="J120" s="9" t="str">
        <x:v>Post-fix acceptance passed for Pin message: 1 exact named test(s) matched and passed on build 1.2.3+156.</x:v>
      </x:c>
      <x:c r="K120" s="9" t="str">
        <x:v>evidence/server-test-json-final-156.json</x:v>
      </x:c>
      <x:c r="L120" s="9" t="str"/>
      <x:c r="M120" s="9" t="str">
        <x:v>Codex</x:v>
      </x:c>
      <x:c r="N120" s="9" t="str">
        <x:v>Server: server/src/messenger/message.service.spec.ts :: MessageService staff-identity masking on message.updated realtime paths pinMessage masks senderId for a STAFF author in an administration chat</x:v>
      </x:c>
    </x:row>
    <x:row r="121">
      <x:c r="A121" s="9" t="str">
        <x:v>RUN-G-065</x:v>
      </x:c>
      <x:c r="B121" s="9" t="str">
        <x:v>CHAT-021</x:v>
      </x:c>
      <x:c r="C121" s="9" t="str">
        <x:v>REGRESSION</x:v>
      </x:c>
      <x:c r="D121" s="9" t="str">
        <x:v>1.2.3+156</x:v>
      </x:c>
      <x:c r="E121" s="9" t="str">
        <x:v>разрешённый участник</x:v>
      </x:c>
      <x:c r="F121" s="9" t="str">
        <x:v>Server</x:v>
      </x:c>
      <x:c r="G121" s="9" t="str">
        <x:v>chat policy</x:v>
      </x:c>
      <x:c r="H121" s="9" t="str">
        <x:v>2026-08-06</x:v>
      </x:c>
      <x:c r="I121" s="9" t="str">
        <x:v>PASS</x:v>
      </x:c>
      <x:c r="J121" s="9" t="str">
        <x:v>Post-fix acceptance passed for Unpin message: 1 exact named test(s) matched and passed on build 1.2.3+156.</x:v>
      </x:c>
      <x:c r="K121" s="9" t="str">
        <x:v>evidence/server-test-json-final-156.json</x:v>
      </x:c>
      <x:c r="L121" s="9" t="str"/>
      <x:c r="M121" s="9" t="str">
        <x:v>Codex</x:v>
      </x:c>
      <x:c r="N121" s="9" t="str">
        <x:v>Server: server/src/messenger/message.service.spec.ts :: MessageService staff-identity masking on message.updated realtime paths unpinMessage masks senderId for a STAFF author in an administration chat</x:v>
      </x:c>
    </x:row>
    <x:row r="122">
      <x:c r="A122" s="9" t="str">
        <x:v>RUN-G-066</x:v>
      </x:c>
      <x:c r="B122" s="9" t="str">
        <x:v>CHAT-022</x:v>
      </x:c>
      <x:c r="C122" s="9" t="str">
        <x:v>REGRESSION</x:v>
      </x:c>
      <x:c r="D122" s="9" t="str">
        <x:v>1.2.3+156</x:v>
      </x:c>
      <x:c r="E122" s="9" t="str">
        <x:v>участник chat</x:v>
      </x:c>
      <x:c r="F122" s="9" t="str">
        <x:v>Server</x:v>
      </x:c>
      <x:c r="G122" s="9" t="str">
        <x:v>self membership</x:v>
      </x:c>
      <x:c r="H122" s="9" t="str">
        <x:v>2026-08-06</x:v>
      </x:c>
      <x:c r="I122" s="9" t="str">
        <x:v>PASS</x:v>
      </x:c>
      <x:c r="J122" s="9" t="str">
        <x:v>Post-fix acceptance passed for Mark read: 1 exact named test(s) matched and passed on build 1.2.3+156.</x:v>
      </x:c>
      <x:c r="K122" s="9" t="str">
        <x:v>evidence/server-test-json-final-156.json</x:v>
      </x:c>
      <x:c r="L122" s="9" t="str"/>
      <x:c r="M122" s="9" t="str">
        <x:v>Codex</x:v>
      </x:c>
      <x:c r="N122" s="9" t="str">
        <x:v>Server: server/src/messenger/read-receipt.service.spec.ts :: ReadReceiptService derives markRead lastReadMessageId from the latest chat message when omitted</x:v>
      </x:c>
    </x:row>
    <x:row r="123">
      <x:c r="A123" s="9" t="str">
        <x:v>RUN-G-067</x:v>
      </x:c>
      <x:c r="B123" s="9" t="str">
        <x:v>CHAT-023</x:v>
      </x:c>
      <x:c r="C123" s="9" t="str">
        <x:v>REGRESSION</x:v>
      </x:c>
      <x:c r="D123" s="9" t="str">
        <x:v>1.2.3+156</x:v>
      </x:c>
      <x:c r="E123" s="9" t="str">
        <x:v>участник chat</x:v>
      </x:c>
      <x:c r="F123" s="9" t="str">
        <x:v>Flutter</x:v>
      </x:c>
      <x:c r="G123" s="9" t="str">
        <x:v>self preference</x:v>
      </x:c>
      <x:c r="H123" s="9" t="str">
        <x:v>2026-08-06</x:v>
      </x:c>
      <x:c r="I123" s="9" t="str">
        <x:v>PASS</x:v>
      </x:c>
      <x:c r="J123" s="9" t="str">
        <x:v>Post-fix acceptance passed for Mute chat: 1 exact named test(s) matched and passed on build 1.2.3+156.</x:v>
      </x:c>
      <x:c r="K123" s="9" t="str">
        <x:v>evidence/flutter-test-machine-final-156.ndjson</x:v>
      </x:c>
      <x:c r="L123" s="9" t="str"/>
      <x:c r="M123" s="9" t="str">
        <x:v>Codex</x:v>
      </x:c>
      <x:c r="N123" s="9" t="str">
        <x:v>Flutter: test/core/services/magic_messenger_service_test.dart :: MagicMessengerService updates chat mute preference through v3 API</x:v>
      </x:c>
    </x:row>
    <x:row r="124">
      <x:c r="A124" s="9" t="str">
        <x:v>RUN-G-068</x:v>
      </x:c>
      <x:c r="B124" s="9" t="str">
        <x:v>CHAT-024</x:v>
      </x:c>
      <x:c r="C124" s="9" t="str">
        <x:v>REGRESSION</x:v>
      </x:c>
      <x:c r="D124" s="9" t="str">
        <x:v>1.2.3+156</x:v>
      </x:c>
      <x:c r="E124" s="9" t="str">
        <x:v>разрешённый пользователь</x:v>
      </x:c>
      <x:c r="F124" s="9" t="str">
        <x:v>Flutter</x:v>
      </x:c>
      <x:c r="G124" s="9" t="str">
        <x:v>chat policy</x:v>
      </x:c>
      <x:c r="H124" s="9" t="str">
        <x:v>2026-08-06</x:v>
      </x:c>
      <x:c r="I124" s="9" t="str">
        <x:v>PASS</x:v>
      </x:c>
      <x:c r="J124" s="9" t="str">
        <x:v>Post-fix acceptance passed for Archive chat: 1 exact named test(s) matched and passed on build 1.2.3+156.</x:v>
      </x:c>
      <x:c r="K124" s="9" t="str">
        <x:v>evidence/flutter-test-machine-final-156.ndjson</x:v>
      </x:c>
      <x:c r="L124" s="9" t="str"/>
      <x:c r="M124" s="9" t="str">
        <x:v>Codex</x:v>
      </x:c>
      <x:c r="N124" s="9" t="str">
        <x:v>Flutter: test/core/services/magic_messenger_service_test.dart :: MagicMessengerService archiveChat / unarchiveChat / unassignChat hit the right routes</x:v>
      </x:c>
    </x:row>
    <x:row r="125">
      <x:c r="A125" s="9" t="str">
        <x:v>RUN-G-069</x:v>
      </x:c>
      <x:c r="B125" s="9" t="str">
        <x:v>CHAT-025</x:v>
      </x:c>
      <x:c r="C125" s="9" t="str">
        <x:v>REGRESSION</x:v>
      </x:c>
      <x:c r="D125" s="9" t="str">
        <x:v>1.2.3+156</x:v>
      </x:c>
      <x:c r="E125" s="9" t="str">
        <x:v>staff пользователь</x:v>
      </x:c>
      <x:c r="F125" s="9" t="str">
        <x:v>Server</x:v>
      </x:c>
      <x:c r="G125" s="9" t="str">
        <x:v>staff inbox</x:v>
      </x:c>
      <x:c r="H125" s="9" t="str">
        <x:v>2026-08-06</x:v>
      </x:c>
      <x:c r="I125" s="9" t="str">
        <x:v>PASS</x:v>
      </x:c>
      <x:c r="J125" s="9" t="str">
        <x:v>Post-fix acceptance passed for Assign chat: 1 exact named test(s) matched and passed on build 1.2.3+156.</x:v>
      </x:c>
      <x:c r="K125" s="9" t="str">
        <x:v>evidence/server-test-json-final-156.json</x:v>
      </x:c>
      <x:c r="L125" s="9" t="str"/>
      <x:c r="M125" s="9" t="str">
        <x:v>Codex</x:v>
      </x:c>
      <x:c r="N125" s="9" t="str">
        <x:v>Server: server/src/messenger/chat-inbox.service.spec.ts :: ChatInboxService assignChat / unassignChat assignChat sets assigned_to_user_id/assigned_at and publishes chat.updated to admin inbox</x:v>
      </x:c>
    </x:row>
    <x:row r="126">
      <x:c r="A126" s="9" t="str">
        <x:v>RUN-G-070</x:v>
      </x:c>
      <x:c r="B126" s="9" t="str">
        <x:v>CHAT-026</x:v>
      </x:c>
      <x:c r="C126" s="9" t="str">
        <x:v>REGRESSION</x:v>
      </x:c>
      <x:c r="D126" s="9" t="str">
        <x:v>1.2.3+156</x:v>
      </x:c>
      <x:c r="E126" s="9" t="str">
        <x:v>пользователь</x:v>
      </x:c>
      <x:c r="F126" s="9" t="str">
        <x:v>Flutter</x:v>
      </x:c>
      <x:c r="G126" s="9" t="str">
        <x:v>channel read</x:v>
      </x:c>
      <x:c r="H126" s="9" t="str">
        <x:v>2026-08-06</x:v>
      </x:c>
      <x:c r="I126" s="9" t="str">
        <x:v>PASS</x:v>
      </x:c>
      <x:c r="J126" s="9" t="str">
        <x:v>Post-fix acceptance passed for Channels list: 1 exact named test(s) matched and passed on build 1.2.3+156.</x:v>
      </x:c>
      <x:c r="K126" s="9" t="str">
        <x:v>evidence/flutter-test-machine-final-156.ndjson</x:v>
      </x:c>
      <x:c r="L126" s="9" t="str"/>
      <x:c r="M126" s="9" t="str">
        <x:v>Codex</x:v>
      </x:c>
      <x:c r="N126" s="9" t="str">
        <x:v>Flutter: test/core/services/magic_messenger_service_test.dart :: MagicMessengerService lists channels and channel posts through v3 API</x:v>
      </x:c>
    </x:row>
    <x:row r="127">
      <x:c r="A127" s="9" t="str">
        <x:v>RUN-G-071</x:v>
      </x:c>
      <x:c r="B127" s="9" t="str">
        <x:v>CHAT-027</x:v>
      </x:c>
      <x:c r="C127" s="9" t="str">
        <x:v>REGRESSION</x:v>
      </x:c>
      <x:c r="D127" s="9" t="str">
        <x:v>1.2.3+156</x:v>
      </x:c>
      <x:c r="E127" s="9" t="str">
        <x:v>пользователь</x:v>
      </x:c>
      <x:c r="F127" s="9" t="str">
        <x:v>Flutter</x:v>
      </x:c>
      <x:c r="G127" s="9" t="str">
        <x:v>channel read</x:v>
      </x:c>
      <x:c r="H127" s="9" t="str">
        <x:v>2026-08-06</x:v>
      </x:c>
      <x:c r="I127" s="9" t="str">
        <x:v>PASS</x:v>
      </x:c>
      <x:c r="J127" s="9" t="str">
        <x:v>Post-fix acceptance passed for Channel posts: 1 exact named test(s) matched and passed on build 1.2.3+156.</x:v>
      </x:c>
      <x:c r="K127" s="9" t="str">
        <x:v>evidence/flutter-test-machine-final-156.ndjson</x:v>
      </x:c>
      <x:c r="L127" s="9" t="str"/>
      <x:c r="M127" s="9" t="str">
        <x:v>Codex</x:v>
      </x:c>
      <x:c r="N127" s="9" t="str">
        <x:v>Flutter: test/core/services/magic_messenger_service_test.dart :: MagicMessengerService lists channels and channel posts through v3 API</x:v>
      </x:c>
    </x:row>
    <x:row r="128">
      <x:c r="A128" s="9" t="str">
        <x:v>RUN-G-072</x:v>
      </x:c>
      <x:c r="B128" s="9" t="str">
        <x:v>CHAT-028</x:v>
      </x:c>
      <x:c r="C128" s="9" t="str">
        <x:v>REGRESSION</x:v>
      </x:c>
      <x:c r="D128" s="9" t="str">
        <x:v>1.2.3+156</x:v>
      </x:c>
      <x:c r="E128" s="9" t="str">
        <x:v>разрешённый staff</x:v>
      </x:c>
      <x:c r="F128" s="9" t="str">
        <x:v>Flutter</x:v>
      </x:c>
      <x:c r="G128" s="9" t="str">
        <x:v>channel manage</x:v>
      </x:c>
      <x:c r="H128" s="9" t="str">
        <x:v>2026-08-06</x:v>
      </x:c>
      <x:c r="I128" s="9" t="str">
        <x:v>PASS</x:v>
      </x:c>
      <x:c r="J128" s="9" t="str">
        <x:v>Post-fix acceptance passed for Manage channel: 1 exact named test(s) matched and passed on build 1.2.3+156.</x:v>
      </x:c>
      <x:c r="K128" s="9" t="str">
        <x:v>evidence/flutter-test-machine-final-156.ndjson</x:v>
      </x:c>
      <x:c r="L128" s="9" t="str"/>
      <x:c r="M128" s="9" t="str">
        <x:v>Codex</x:v>
      </x:c>
      <x:c r="N128" s="9" t="str">
        <x:v>Flutter: test/core/services/magic_messenger_service_test.dart :: MagicMessengerService creates and updates channels through v3 API</x:v>
      </x:c>
    </x:row>
    <x:row r="129">
      <x:c r="A129" s="9" t="str">
        <x:v>RUN-G-073</x:v>
      </x:c>
      <x:c r="B129" s="9" t="str">
        <x:v>CHAT-029</x:v>
      </x:c>
      <x:c r="C129" s="9" t="str">
        <x:v>REGRESSION</x:v>
      </x:c>
      <x:c r="D129" s="9" t="str">
        <x:v>1.2.3+156</x:v>
      </x:c>
      <x:c r="E129" s="9" t="str">
        <x:v>разрешённый автор</x:v>
      </x:c>
      <x:c r="F129" s="9" t="str">
        <x:v>Server</x:v>
      </x:c>
      <x:c r="G129" s="9" t="str">
        <x:v>channel publish</x:v>
      </x:c>
      <x:c r="H129" s="9" t="str">
        <x:v>2026-08-06</x:v>
      </x:c>
      <x:c r="I129" s="9" t="str">
        <x:v>PASS</x:v>
      </x:c>
      <x:c r="J129" s="9" t="str">
        <x:v>Post-fix acceptance passed for Publish channel post: 1 exact named test(s) matched and passed on build 1.2.3+156.</x:v>
      </x:c>
      <x:c r="K129" s="9" t="str">
        <x:v>evidence/server-test-json-final-156.json</x:v>
      </x:c>
      <x:c r="L129" s="9" t="str"/>
      <x:c r="M129" s="9" t="str">
        <x:v>Codex</x:v>
      </x:c>
      <x:c r="N129" s="9" t="str">
        <x:v>Server: server/src/messenger/channels.service.spec.ts :: ChannelsService publishes channel.post_created to the channel room, never a chat room</x:v>
      </x:c>
    </x:row>
    <x:row r="130">
      <x:c r="A130" s="9" t="str">
        <x:v>RUN-G-074</x:v>
      </x:c>
      <x:c r="B130" s="9" t="str">
        <x:v>CHAT-030</x:v>
      </x:c>
      <x:c r="C130" s="9" t="str">
        <x:v>REGRESSION</x:v>
      </x:c>
      <x:c r="D130" s="9" t="str">
        <x:v>1.2.3+156</x:v>
      </x:c>
      <x:c r="E130" s="9" t="str">
        <x:v>участник chat</x:v>
      </x:c>
      <x:c r="F130" s="9" t="str">
        <x:v>Flutter</x:v>
      </x:c>
      <x:c r="G130" s="9" t="str">
        <x:v>room policy</x:v>
      </x:c>
      <x:c r="H130" s="9" t="str">
        <x:v>2026-08-06</x:v>
      </x:c>
      <x:c r="I130" s="9" t="str">
        <x:v>PASS</x:v>
      </x:c>
      <x:c r="J130" s="9" t="str">
        <x:v>Post-fix acceptance passed for Typing and presence: 1 exact named test(s) matched and passed on build 1.2.3+156.</x:v>
      </x:c>
      <x:c r="K130" s="9" t="str">
        <x:v>evidence/flutter-test-machine-final-156.ndjson</x:v>
      </x:c>
      <x:c r="L130" s="9" t="str"/>
      <x:c r="M130" s="9" t="str">
        <x:v>Codex</x:v>
      </x:c>
      <x:c r="N130" s="9" t="str">
        <x:v>Flutter: test/core/services/magic_realtime_service_test.dart :: MagicRealtimeService emits room, typing and presence events</x:v>
      </x:c>
    </x:row>
    <x:row r="131">
      <x:c r="A131" s="9" t="str">
        <x:v>RUN-G-075</x:v>
      </x:c>
      <x:c r="B131" s="9" t="str">
        <x:v>CHAT-031</x:v>
      </x:c>
      <x:c r="C131" s="9" t="str">
        <x:v>REGRESSION</x:v>
      </x:c>
      <x:c r="D131" s="9" t="str">
        <x:v>1.2.3+156</x:v>
      </x:c>
      <x:c r="E131" s="9" t="str">
        <x:v>пользователь</x:v>
      </x:c>
      <x:c r="F131" s="9" t="str">
        <x:v>Flutter</x:v>
      </x:c>
      <x:c r="G131" s="9" t="str">
        <x:v>current account</x:v>
      </x:c>
      <x:c r="H131" s="9" t="str">
        <x:v>2026-08-06</x:v>
      </x:c>
      <x:c r="I131" s="9" t="str">
        <x:v>PASS</x:v>
      </x:c>
      <x:c r="J131" s="9" t="str">
        <x:v>Post-fix acceptance passed for Realtime reconnect: 1 exact named test(s) matched and passed on build 1.2.3+156.</x:v>
      </x:c>
      <x:c r="K131" s="9" t="str">
        <x:v>evidence/flutter-test-machine-final-156.ndjson</x:v>
      </x:c>
      <x:c r="L131" s="9" t="str"/>
      <x:c r="M131" s="9" t="str">
        <x:v>Codex</x:v>
      </x:c>
      <x:c r="N131" s="9" t="str">
        <x:v>Flutter: test/core/services/magic_realtime_service_test.dart :: MagicRealtimeService onConnect fires on every (re)connect so rooms can be re-joined</x:v>
      </x:c>
    </x:row>
    <x:row r="132">
      <x:c r="A132" s="9" t="str">
        <x:v>RUN-G-076</x:v>
      </x:c>
      <x:c r="B132" s="9" t="str">
        <x:v>CHAT-032</x:v>
      </x:c>
      <x:c r="C132" s="9" t="str">
        <x:v>REGRESSION</x:v>
      </x:c>
      <x:c r="D132" s="9" t="str">
        <x:v>1.2.3+156</x:v>
      </x:c>
      <x:c r="E132" s="9" t="str">
        <x:v>staff пользователь</x:v>
      </x:c>
      <x:c r="F132" s="9" t="str">
        <x:v>Server</x:v>
      </x:c>
      <x:c r="G132" s="9" t="str">
        <x:v>crm.client.write</x:v>
      </x:c>
      <x:c r="H132" s="9" t="str">
        <x:v>2026-08-06</x:v>
      </x:c>
      <x:c r="I132" s="9" t="str">
        <x:v>PASS</x:v>
      </x:c>
      <x:c r="J132" s="9" t="str">
        <x:v>Post-fix acceptance passed for Save chat contact: 1 exact named test(s) matched and passed on build 1.2.3+156.</x:v>
      </x:c>
      <x:c r="K132" s="9" t="str">
        <x:v>evidence/server-test-json-final-156.json</x:v>
      </x:c>
      <x:c r="L132" s="9" t="str"/>
      <x:c r="M132" s="9" t="str">
        <x:v>Codex</x:v>
      </x:c>
      <x:c r="N132" s="9" t="str">
        <x:v>Server: server/src/crm/lead-intake.service.spec.ts :: LeadIntakeService save-from-chat creates and links a new lead from a chat partner</x:v>
      </x:c>
    </x:row>
    <x:row r="133">
      <x:c r="A133" s="9" t="str">
        <x:v>RUN-G-077</x:v>
      </x:c>
      <x:c r="B133" s="9" t="str">
        <x:v>CRM-001</x:v>
      </x:c>
      <x:c r="C133" s="9" t="str">
        <x:v>REGRESSION</x:v>
      </x:c>
      <x:c r="D133" s="9" t="str">
        <x:v>1.2.3+156</x:v>
      </x:c>
      <x:c r="E133" s="9" t="str">
        <x:v>staff пользователь</x:v>
      </x:c>
      <x:c r="F133" s="9" t="str">
        <x:v>Server</x:v>
      </x:c>
      <x:c r="G133" s="9" t="str">
        <x:v>crm.client.read</x:v>
      </x:c>
      <x:c r="H133" s="9" t="str">
        <x:v>2026-08-06</x:v>
      </x:c>
      <x:c r="I133" s="9" t="str">
        <x:v>PASS</x:v>
      </x:c>
      <x:c r="J133" s="9" t="str">
        <x:v>Post-fix acceptance passed for Lead board: 1 exact named test(s) matched and passed on build 1.2.3+156.</x:v>
      </x:c>
      <x:c r="K133" s="9" t="str">
        <x:v>evidence/server-test-json-final-156.json</x:v>
      </x:c>
      <x:c r="L133" s="9" t="str"/>
      <x:c r="M133" s="9" t="str">
        <x:v>Codex</x:v>
      </x:c>
      <x:c r="N133" s="9" t="str">
        <x:v>Server: server/src/crm/leads.service.spec.ts :: LeadsService returns lead board columns with counts and aggregate lead fields</x:v>
      </x:c>
    </x:row>
    <x:row r="134">
      <x:c r="A134" s="9" t="str">
        <x:v>RUN-G-078</x:v>
      </x:c>
      <x:c r="B134" s="9" t="str">
        <x:v>CRM-002</x:v>
      </x:c>
      <x:c r="C134" s="9" t="str">
        <x:v>REGRESSION</x:v>
      </x:c>
      <x:c r="D134" s="9" t="str">
        <x:v>1.2.3+156</x:v>
      </x:c>
      <x:c r="E134" s="9" t="str">
        <x:v>staff пользователь</x:v>
      </x:c>
      <x:c r="F134" s="9" t="str">
        <x:v>Flutter</x:v>
      </x:c>
      <x:c r="G134" s="9" t="str">
        <x:v>crm.client.read</x:v>
      </x:c>
      <x:c r="H134" s="9" t="str">
        <x:v>2026-08-06</x:v>
      </x:c>
      <x:c r="I134" s="9" t="str">
        <x:v>PASS</x:v>
      </x:c>
      <x:c r="J134" s="9" t="str">
        <x:v>Post-fix acceptance passed for Lead search typing: 1 exact named test(s) matched and passed on build 1.2.3+156.</x:v>
      </x:c>
      <x:c r="K134" s="9" t="str">
        <x:v>evidence/flutter-test-machine-final-156.ndjson</x:v>
      </x:c>
      <x:c r="L134" s="9" t="str"/>
      <x:c r="M134" s="9" t="str">
        <x:v>Codex</x:v>
      </x:c>
      <x:c r="N134" s="9" t="str">
        <x:v>Flutter: test/features/manager/realtime_poll_ux_test.dart :: lead search keeps focus and board while typing every character</x:v>
      </x:c>
    </x:row>
    <x:row r="135">
      <x:c r="A135" s="9" t="str">
        <x:v>RUN-G-079</x:v>
      </x:c>
      <x:c r="B135" s="9" t="str">
        <x:v>CRM-003</x:v>
      </x:c>
      <x:c r="C135" s="9" t="str">
        <x:v>REGRESSION</x:v>
      </x:c>
      <x:c r="D135" s="9" t="str">
        <x:v>1.2.3+156</x:v>
      </x:c>
      <x:c r="E135" s="9" t="str">
        <x:v>staff пользователь</x:v>
      </x:c>
      <x:c r="F135" s="9" t="str">
        <x:v>Server</x:v>
      </x:c>
      <x:c r="G135" s="9" t="str">
        <x:v>crm.client.read</x:v>
      </x:c>
      <x:c r="H135" s="9" t="str">
        <x:v>2026-08-06</x:v>
      </x:c>
      <x:c r="I135" s="9" t="str">
        <x:v>PASS</x:v>
      </x:c>
      <x:c r="J135" s="9" t="str">
        <x:v>Post-fix acceptance passed for Lead filters: 1 exact named test(s) matched and passed on build 1.2.3+156.</x:v>
      </x:c>
      <x:c r="K135" s="9" t="str">
        <x:v>evidence/server-test-json-final-156.json</x:v>
      </x:c>
      <x:c r="L135" s="9" t="str"/>
      <x:c r="M135" s="9" t="str">
        <x:v>Codex</x:v>
      </x:c>
      <x:c r="N135" s="9" t="str">
        <x:v>Server: server/src/crm/leads.service.spec.ts :: LeadsService lead board branch filter prefers the branch_id column</x:v>
      </x:c>
    </x:row>
    <x:row r="136">
      <x:c r="A136" s="9" t="str">
        <x:v>RUN-G-080</x:v>
      </x:c>
      <x:c r="B136" s="9" t="str">
        <x:v>CRM-004</x:v>
      </x:c>
      <x:c r="C136" s="9" t="str">
        <x:v>REGRESSION</x:v>
      </x:c>
      <x:c r="D136" s="9" t="str">
        <x:v>1.2.3+156</x:v>
      </x:c>
      <x:c r="E136" s="9" t="str">
        <x:v>staff пользователь</x:v>
      </x:c>
      <x:c r="F136" s="9" t="str">
        <x:v>Flutter</x:v>
      </x:c>
      <x:c r="G136" s="9" t="str">
        <x:v>crm.client.write</x:v>
      </x:c>
      <x:c r="H136" s="9" t="str">
        <x:v>2026-08-06</x:v>
      </x:c>
      <x:c r="I136" s="9" t="str">
        <x:v>PASS</x:v>
      </x:c>
      <x:c r="J136" s="9" t="str">
        <x:v>Post-fix acceptance passed for Create Lead: 1 exact named test(s) matched and passed on build 1.2.3+156.</x:v>
      </x:c>
      <x:c r="K136" s="9" t="str">
        <x:v>evidence/flutter-test-machine-final-156.ndjson</x:v>
      </x:c>
      <x:c r="L136" s="9" t="str"/>
      <x:c r="M136" s="9" t="str">
        <x:v>Codex</x:v>
      </x:c>
      <x:c r="N136" s="9" t="str">
        <x:v>Flutter: test/core/services/magic_crm_service_test.dart :: MagicCrmService manages leads and lead statuses through v3 API</x:v>
      </x:c>
    </x:row>
    <x:row r="137">
      <x:c r="A137" s="9" t="str">
        <x:v>RUN-G-081</x:v>
      </x:c>
      <x:c r="B137" s="9" t="str">
        <x:v>CRM-005</x:v>
      </x:c>
      <x:c r="C137" s="9" t="str">
        <x:v>REGRESSION</x:v>
      </x:c>
      <x:c r="D137" s="9" t="str">
        <x:v>1.2.3+156</x:v>
      </x:c>
      <x:c r="E137" s="9" t="str">
        <x:v>staff пользователь</x:v>
      </x:c>
      <x:c r="F137" s="9" t="str">
        <x:v>Flutter</x:v>
      </x:c>
      <x:c r="G137" s="9" t="str">
        <x:v>crm.client.write + scope</x:v>
      </x:c>
      <x:c r="H137" s="9" t="str">
        <x:v>2026-08-06</x:v>
      </x:c>
      <x:c r="I137" s="9" t="str">
        <x:v>PASS</x:v>
      </x:c>
      <x:c r="J137" s="9" t="str">
        <x:v>Post-fix acceptance passed for Edit Lead: 1 exact named test(s) matched and passed on build 1.2.3+156.</x:v>
      </x:c>
      <x:c r="K137" s="9" t="str">
        <x:v>evidence/flutter-test-machine-final-156.ndjson</x:v>
      </x:c>
      <x:c r="L137" s="9" t="str"/>
      <x:c r="M137" s="9" t="str">
        <x:v>Codex</x:v>
      </x:c>
      <x:c r="N137" s="9" t="str">
        <x:v>Flutter: test/core/services/magic_crm_service_test.dart :: MagicCrmService manages leads and lead statuses through v3 API</x:v>
      </x:c>
    </x:row>
    <x:row r="138">
      <x:c r="A138" s="9" t="str">
        <x:v>RUN-G-082</x:v>
      </x:c>
      <x:c r="B138" s="9" t="str">
        <x:v>CRM-006</x:v>
      </x:c>
      <x:c r="C138" s="9" t="str">
        <x:v>REGRESSION</x:v>
      </x:c>
      <x:c r="D138" s="9" t="str">
        <x:v>1.2.3+156</x:v>
      </x:c>
      <x:c r="E138" s="9" t="str">
        <x:v>staff пользователь</x:v>
      </x:c>
      <x:c r="F138" s="9" t="str">
        <x:v>Flutter</x:v>
      </x:c>
      <x:c r="G138" s="9" t="str">
        <x:v>crm.client.write</x:v>
      </x:c>
      <x:c r="H138" s="9" t="str">
        <x:v>2026-08-06</x:v>
      </x:c>
      <x:c r="I138" s="9" t="str">
        <x:v>PASS</x:v>
      </x:c>
      <x:c r="J138" s="9" t="str">
        <x:v>Post-fix acceptance passed for Move Lead stage: 1 exact named test(s) matched and passed on build 1.2.3+156.</x:v>
      </x:c>
      <x:c r="K138" s="9" t="str">
        <x:v>evidence/flutter-test-machine-final-156.ndjson</x:v>
      </x:c>
      <x:c r="L138" s="9" t="str"/>
      <x:c r="M138" s="9" t="str">
        <x:v>Codex</x:v>
      </x:c>
      <x:c r="N138" s="9" t="str">
        <x:v>Flutter: test/core/services/magic_crm_service_test.dart :: MagicCrmService manages leads and lead statuses through v3 API</x:v>
      </x:c>
    </x:row>
    <x:row r="139">
      <x:c r="A139" s="9" t="str">
        <x:v>RUN-G-083</x:v>
      </x:c>
      <x:c r="B139" s="9" t="str">
        <x:v>CRM-007</x:v>
      </x:c>
      <x:c r="C139" s="9" t="str">
        <x:v>REGRESSION</x:v>
      </x:c>
      <x:c r="D139" s="9" t="str">
        <x:v>1.2.3+156</x:v>
      </x:c>
      <x:c r="E139" s="9" t="str">
        <x:v>staff пользователь</x:v>
      </x:c>
      <x:c r="F139" s="9" t="str">
        <x:v>Server</x:v>
      </x:c>
      <x:c r="G139" s="9" t="str">
        <x:v>crm.client.read</x:v>
      </x:c>
      <x:c r="H139" s="9" t="str">
        <x:v>2026-08-06</x:v>
      </x:c>
      <x:c r="I139" s="9" t="str">
        <x:v>PASS</x:v>
      </x:c>
      <x:c r="J139" s="9" t="str">
        <x:v>Post-fix acceptance passed for Lead status history: 1 exact named test(s) matched and passed on build 1.2.3+156.</x:v>
      </x:c>
      <x:c r="K139" s="9" t="str">
        <x:v>evidence/server-test-json-final-156.json</x:v>
      </x:c>
      <x:c r="L139" s="9" t="str"/>
      <x:c r="M139" s="9" t="str">
        <x:v>Codex</x:v>
      </x:c>
      <x:c r="N139" s="9" t="str">
        <x:v>Server: server/src/crm/leads.service.spec.ts :: LeadsService records a lead_status_history row when status changes</x:v>
      </x:c>
    </x:row>
    <x:row r="140">
      <x:c r="A140" s="9" t="str">
        <x:v>RUN-G-084</x:v>
      </x:c>
      <x:c r="B140" s="9" t="str">
        <x:v>CRM-008</x:v>
      </x:c>
      <x:c r="C140" s="9" t="str">
        <x:v>REGRESSION</x:v>
      </x:c>
      <x:c r="D140" s="9" t="str">
        <x:v>1.2.3+156</x:v>
      </x:c>
      <x:c r="E140" s="9" t="str">
        <x:v>staff пользователь</x:v>
      </x:c>
      <x:c r="F140" s="9" t="str">
        <x:v>Server</x:v>
      </x:c>
      <x:c r="G140" s="9" t="str">
        <x:v>crm.client.read</x:v>
      </x:c>
      <x:c r="H140" s="9" t="str">
        <x:v>2026-08-06</x:v>
      </x:c>
      <x:c r="I140" s="9" t="str">
        <x:v>PASS</x:v>
      </x:c>
      <x:c r="J140" s="9" t="str">
        <x:v>Post-fix acceptance passed for Lead applications: 1 exact named test(s) matched and passed on build 1.2.3+156.</x:v>
      </x:c>
      <x:c r="K140" s="9" t="str">
        <x:v>evidence/server-test-json-final-156.json</x:v>
      </x:c>
      <x:c r="L140" s="9" t="str"/>
      <x:c r="M140" s="9" t="str">
        <x:v>Codex</x:v>
      </x:c>
      <x:c r="N140" s="9" t="str">
        <x:v>Server: server/src/crm/leads.service.spec.ts :: LeadsService lists a lead's applications newest-first (KVA-234)</x:v>
      </x:c>
    </x:row>
    <x:row r="141">
      <x:c r="A141" s="9" t="str">
        <x:v>RUN-G-085</x:v>
      </x:c>
      <x:c r="B141" s="9" t="str">
        <x:v>CRM-009</x:v>
      </x:c>
      <x:c r="C141" s="9" t="str">
        <x:v>REGRESSION</x:v>
      </x:c>
      <x:c r="D141" s="9" t="str">
        <x:v>1.2.3+156</x:v>
      </x:c>
      <x:c r="E141" s="9" t="str">
        <x:v>разрешённый staff</x:v>
      </x:c>
      <x:c r="F141" s="9" t="str">
        <x:v>Server</x:v>
      </x:c>
      <x:c r="G141" s="9" t="str">
        <x:v>crm.client.write</x:v>
      </x:c>
      <x:c r="H141" s="9" t="str">
        <x:v>2026-08-06</x:v>
      </x:c>
      <x:c r="I141" s="9" t="str">
        <x:v>PASS</x:v>
      </x:c>
      <x:c r="J141" s="9" t="str">
        <x:v>Post-fix acceptance passed for Lead blacklist: 1 exact named test(s) matched and passed on build 1.2.3+156.</x:v>
      </x:c>
      <x:c r="K141" s="9" t="str">
        <x:v>evidence/server-test-json-final-156.json</x:v>
      </x:c>
      <x:c r="L141" s="9" t="str"/>
      <x:c r="M141" s="9" t="str">
        <x:v>Codex</x:v>
      </x:c>
      <x:c r="N141" s="9" t="str">
        <x:v>Server: server/src/crm/blacklist.service.spec.ts :: BlacklistService bans a lead too — the app account may hang off either half</x:v>
      </x:c>
    </x:row>
    <x:row r="142">
      <x:c r="A142" s="9" t="str">
        <x:v>RUN-G-086</x:v>
      </x:c>
      <x:c r="B142" s="9" t="str">
        <x:v>CRM-010</x:v>
      </x:c>
      <x:c r="C142" s="9" t="str">
        <x:v>REGRESSION</x:v>
      </x:c>
      <x:c r="D142" s="9" t="str">
        <x:v>1.2.3+156</x:v>
      </x:c>
      <x:c r="E142" s="9" t="str">
        <x:v>staff пользователь</x:v>
      </x:c>
      <x:c r="F142" s="9" t="str">
        <x:v>Server</x:v>
      </x:c>
      <x:c r="G142" s="9" t="str">
        <x:v>crm.client.write</x:v>
      </x:c>
      <x:c r="H142" s="9" t="str">
        <x:v>2026-08-06</x:v>
      </x:c>
      <x:c r="I142" s="9" t="str">
        <x:v>PASS</x:v>
      </x:c>
      <x:c r="J142" s="9" t="str">
        <x:v>Post-fix acceptance passed for Phone review queue: 1 exact named test(s) matched and passed on build 1.2.3+156.</x:v>
      </x:c>
      <x:c r="K142" s="9" t="str">
        <x:v>evidence/server-test-json-final-156.json</x:v>
      </x:c>
      <x:c r="L142" s="9" t="str"/>
      <x:c r="M142" s="9" t="str">
        <x:v>Codex</x:v>
      </x:c>
      <x:c r="N142" s="9" t="str">
        <x:v>Server: server/src/crm/phone-review.service.spec.ts :: PhoneReviewService lists open phone-review-queue rows</x:v>
      </x:c>
    </x:row>
    <x:row r="143">
      <x:c r="A143" s="9" t="str">
        <x:v>RUN-G-087</x:v>
      </x:c>
      <x:c r="B143" s="9" t="str">
        <x:v>CRM-011</x:v>
      </x:c>
      <x:c r="C143" s="9" t="str">
        <x:v>REGRESSION</x:v>
      </x:c>
      <x:c r="D143" s="9" t="str">
        <x:v>1.2.3+156</x:v>
      </x:c>
      <x:c r="E143" s="9" t="str">
        <x:v>staff пользователь</x:v>
      </x:c>
      <x:c r="F143" s="9" t="str">
        <x:v>Server</x:v>
      </x:c>
      <x:c r="G143" s="9" t="str">
        <x:v>crm.client.write</x:v>
      </x:c>
      <x:c r="H143" s="9" t="str">
        <x:v>2026-08-06</x:v>
      </x:c>
      <x:c r="I143" s="9" t="str">
        <x:v>PASS</x:v>
      </x:c>
      <x:c r="J143" s="9" t="str">
        <x:v>Post-fix acceptance passed for Duplicate review: 1 exact named test(s) matched and passed on build 1.2.3+156.</x:v>
      </x:c>
      <x:c r="K143" s="9" t="str">
        <x:v>evidence/server-test-json-final-156.json</x:v>
      </x:c>
      <x:c r="L143" s="9" t="str"/>
      <x:c r="M143" s="9" t="str">
        <x:v>Codex</x:v>
      </x:c>
      <x:c r="N143" s="9" t="str">
        <x:v>Server: server/src/crm/duplicates.service.spec.ts :: DuplicatesService lists and decides duplicate candidates with safe lead-student attach</x:v>
      </x:c>
    </x:row>
    <x:row r="144">
      <x:c r="A144" s="9" t="str">
        <x:v>RUN-G-088</x:v>
      </x:c>
      <x:c r="B144" s="9" t="str">
        <x:v>CRM-012</x:v>
      </x:c>
      <x:c r="C144" s="9" t="str">
        <x:v>REGRESSION</x:v>
      </x:c>
      <x:c r="D144" s="9" t="str">
        <x:v>1.2.3+156</x:v>
      </x:c>
      <x:c r="E144" s="9" t="str">
        <x:v>разрешённый staff</x:v>
      </x:c>
      <x:c r="F144" s="9" t="str">
        <x:v>Server</x:v>
      </x:c>
      <x:c r="G144" s="9" t="str">
        <x:v>crm.client.write</x:v>
      </x:c>
      <x:c r="H144" s="9" t="str">
        <x:v>2026-08-06</x:v>
      </x:c>
      <x:c r="I144" s="9" t="str">
        <x:v>PASS</x:v>
      </x:c>
      <x:c r="J144" s="9" t="str">
        <x:v>Post-fix acceptance passed for Merge clients: 1 exact named test(s) matched and passed on build 1.2.3+156.</x:v>
      </x:c>
      <x:c r="K144" s="9" t="str">
        <x:v>evidence/server-test-json-final-156.json</x:v>
      </x:c>
      <x:c r="L144" s="9" t="str"/>
      <x:c r="M144" s="9" t="str">
        <x:v>Codex</x:v>
      </x:c>
      <x:c r="N144" s="9" t="str">
        <x:v>Server: server/src/crm/merge.service.spec.ts :: MergeService mergeLeads re-points references, soft-deletes the loser, and logs</x:v>
      </x:c>
    </x:row>
    <x:row r="145">
      <x:c r="A145" s="9" t="str">
        <x:v>RUN-G-089</x:v>
      </x:c>
      <x:c r="B145" s="9" t="str">
        <x:v>CRM-013</x:v>
      </x:c>
      <x:c r="C145" s="9" t="str">
        <x:v>REGRESSION</x:v>
      </x:c>
      <x:c r="D145" s="9" t="str">
        <x:v>1.2.3+156</x:v>
      </x:c>
      <x:c r="E145" s="9" t="str">
        <x:v>разрешённый staff</x:v>
      </x:c>
      <x:c r="F145" s="9" t="str">
        <x:v>Server</x:v>
      </x:c>
      <x:c r="G145" s="9" t="str">
        <x:v>crm.client.write</x:v>
      </x:c>
      <x:c r="H145" s="9" t="str">
        <x:v>2026-08-06</x:v>
      </x:c>
      <x:c r="I145" s="9" t="str">
        <x:v>PASS</x:v>
      </x:c>
      <x:c r="J145" s="9" t="str">
        <x:v>Post-fix acceptance passed for Undo merge: 1 exact named test(s) matched and passed on build 1.2.3+156.</x:v>
      </x:c>
      <x:c r="K145" s="9" t="str">
        <x:v>evidence/server-test-json-final-156.json</x:v>
      </x:c>
      <x:c r="L145" s="9" t="str"/>
      <x:c r="M145" s="9" t="str">
        <x:v>Codex</x:v>
      </x:c>
      <x:c r="N145" s="9" t="str">
        <x:v>Server: server/src/crm/merge.service.spec.ts :: MergeService undoMerge reverses captured rows, restores the loser, and stamps undone</x:v>
      </x:c>
    </x:row>
    <x:row r="146">
      <x:c r="A146" s="9" t="str">
        <x:v>RUN-G-090</x:v>
      </x:c>
      <x:c r="B146" s="9" t="str">
        <x:v>CRM-014</x:v>
      </x:c>
      <x:c r="C146" s="9" t="str">
        <x:v>REGRESSION</x:v>
      </x:c>
      <x:c r="D146" s="9" t="str">
        <x:v>1.2.3+156</x:v>
      </x:c>
      <x:c r="E146" s="9" t="str">
        <x:v>staff пользователь</x:v>
      </x:c>
      <x:c r="F146" s="9" t="str">
        <x:v>Server</x:v>
      </x:c>
      <x:c r="G146" s="9" t="str">
        <x:v>crm.client.write</x:v>
      </x:c>
      <x:c r="H146" s="9" t="str">
        <x:v>2026-08-06</x:v>
      </x:c>
      <x:c r="I146" s="9" t="str">
        <x:v>PASS</x:v>
      </x:c>
      <x:c r="J146" s="9" t="str">
        <x:v>Post-fix acceptance passed for Convert Lead: 1 exact named test(s) matched and passed on build 1.2.3+156.</x:v>
      </x:c>
      <x:c r="K146" s="9" t="str">
        <x:v>evidence/server-test-json-final-156.json</x:v>
      </x:c>
      <x:c r="L146" s="9" t="str"/>
      <x:c r="M146" s="9" t="str">
        <x:v>Codex</x:v>
      </x:c>
      <x:c r="N146" s="9" t="str">
        <x:v>Server: server/src/crm/clients/conversion-postgres.integration.spec.ts :: Lead to Student conversion (PostgreSQL) creates one Student/link concurrently, preserves data, and archives only the Lead</x:v>
      </x:c>
    </x:row>
    <x:row r="147">
      <x:c r="A147" s="9" t="str">
        <x:v>RUN-G-091</x:v>
      </x:c>
      <x:c r="B147" s="9" t="str">
        <x:v>CRM-015</x:v>
      </x:c>
      <x:c r="C147" s="9" t="str">
        <x:v>REGRESSION</x:v>
      </x:c>
      <x:c r="D147" s="9" t="str">
        <x:v>1.2.3+156</x:v>
      </x:c>
      <x:c r="E147" s="9" t="str">
        <x:v>директор</x:v>
      </x:c>
      <x:c r="F147" s="9" t="str">
        <x:v>Server</x:v>
      </x:c>
      <x:c r="G147" s="9" t="str">
        <x:v>director/system_admin</x:v>
      </x:c>
      <x:c r="H147" s="9" t="str">
        <x:v>2026-08-06</x:v>
      </x:c>
      <x:c r="I147" s="9" t="str">
        <x:v>PASS</x:v>
      </x:c>
      <x:c r="J147" s="9" t="str">
        <x:v>Post-fix acceptance passed for Archive source Lead: 1 exact named test(s) matched and passed on build 1.2.3+156.</x:v>
      </x:c>
      <x:c r="K147" s="9" t="str">
        <x:v>evidence/server-test-json-final-156.json</x:v>
      </x:c>
      <x:c r="L147" s="9" t="str"/>
      <x:c r="M147" s="9" t="str">
        <x:v>Codex</x:v>
      </x:c>
      <x:c r="N147" s="9" t="str">
        <x:v>Server: server/src/crm/clients/archive-postgres.integration.spec.ts :: Client archive preview and tombstone (PostgreSQL) denies Admin, requires versioned confirmation, and preserves every linked fact</x:v>
      </x:c>
    </x:row>
    <x:row r="148">
      <x:c r="A148" s="9" t="str">
        <x:v>RUN-G-092</x:v>
      </x:c>
      <x:c r="B148" s="9" t="str">
        <x:v>CRM-016</x:v>
      </x:c>
      <x:c r="C148" s="9" t="str">
        <x:v>REGRESSION</x:v>
      </x:c>
      <x:c r="D148" s="9" t="str">
        <x:v>1.2.3+156</x:v>
      </x:c>
      <x:c r="E148" s="9" t="str">
        <x:v>директор</x:v>
      </x:c>
      <x:c r="F148" s="9" t="str">
        <x:v>Server</x:v>
      </x:c>
      <x:c r="G148" s="9" t="str">
        <x:v>director/system_admin</x:v>
      </x:c>
      <x:c r="H148" s="9" t="str">
        <x:v>2026-08-06</x:v>
      </x:c>
      <x:c r="I148" s="9" t="str">
        <x:v>PASS</x:v>
      </x:c>
      <x:c r="J148" s="9" t="str">
        <x:v>Post-fix acceptance passed for Client archive preview: 1 exact named test(s) matched and passed on build 1.2.3+156.</x:v>
      </x:c>
      <x:c r="K148" s="9" t="str">
        <x:v>evidence/server-test-json-final-156.json</x:v>
      </x:c>
      <x:c r="L148" s="9" t="str"/>
      <x:c r="M148" s="9" t="str">
        <x:v>Codex</x:v>
      </x:c>
      <x:c r="N148" s="9" t="str">
        <x:v>Server: server/src/crm/clients/archive-postgres.integration.spec.ts :: Client archive preview and tombstone (PostgreSQL) denies Admin, requires versioned confirmation, and preserves every linked fact</x:v>
      </x:c>
    </x:row>
    <x:row r="149">
      <x:c r="A149" s="9" t="str">
        <x:v>RUN-G-093</x:v>
      </x:c>
      <x:c r="B149" s="9" t="str">
        <x:v>CRM-017</x:v>
      </x:c>
      <x:c r="C149" s="9" t="str">
        <x:v>REGRESSION</x:v>
      </x:c>
      <x:c r="D149" s="9" t="str">
        <x:v>1.2.3+156</x:v>
      </x:c>
      <x:c r="E149" s="9" t="str">
        <x:v>директор</x:v>
      </x:c>
      <x:c r="F149" s="9" t="str">
        <x:v>Server</x:v>
      </x:c>
      <x:c r="G149" s="9" t="str">
        <x:v>director/system_admin</x:v>
      </x:c>
      <x:c r="H149" s="9" t="str">
        <x:v>2026-08-06</x:v>
      </x:c>
      <x:c r="I149" s="9" t="str">
        <x:v>PASS</x:v>
      </x:c>
      <x:c r="J149" s="9" t="str">
        <x:v>Post-fix acceptance passed for Archive client: 1 exact named test(s) matched and passed on build 1.2.3+156.</x:v>
      </x:c>
      <x:c r="K149" s="9" t="str">
        <x:v>evidence/server-test-json-final-156.json</x:v>
      </x:c>
      <x:c r="L149" s="9" t="str"/>
      <x:c r="M149" s="9" t="str">
        <x:v>Codex</x:v>
      </x:c>
      <x:c r="N149" s="9" t="str">
        <x:v>Server: server/src/crm/clients/archive-postgres.integration.spec.ts :: Client archive preview and tombstone (PostgreSQL) denies Admin, requires versioned confirmation, and preserves every linked fact</x:v>
      </x:c>
    </x:row>
    <x:row r="150">
      <x:c r="A150" s="9" t="str">
        <x:v>RUN-G-094</x:v>
      </x:c>
      <x:c r="B150" s="9" t="str">
        <x:v>CRM-018</x:v>
      </x:c>
      <x:c r="C150" s="9" t="str">
        <x:v>REGRESSION</x:v>
      </x:c>
      <x:c r="D150" s="9" t="str">
        <x:v>1.2.3+156</x:v>
      </x:c>
      <x:c r="E150" s="9" t="str">
        <x:v>staff/assigned teacher</x:v>
      </x:c>
      <x:c r="F150" s="9" t="str">
        <x:v>Flutter</x:v>
      </x:c>
      <x:c r="G150" s="9" t="str">
        <x:v>actor client scope</x:v>
      </x:c>
      <x:c r="H150" s="9" t="str">
        <x:v>2026-08-06</x:v>
      </x:c>
      <x:c r="I150" s="9" t="str">
        <x:v>PASS</x:v>
      </x:c>
      <x:c r="J150" s="9" t="str">
        <x:v>Post-fix acceptance passed for Student list: 1 exact named test(s) matched and passed on build 1.2.3+156.</x:v>
      </x:c>
      <x:c r="K150" s="9" t="str">
        <x:v>evidence/flutter-test-machine-final-156.ndjson</x:v>
      </x:c>
      <x:c r="L150" s="9" t="str"/>
      <x:c r="M150" s="9" t="str">
        <x:v>Codex</x:v>
      </x:c>
      <x:c r="N150" s="9" t="str">
        <x:v>Flutter: test/features/v4/client_card_roles_test.dart :: Teacher card renders only learning sections on narrow layout</x:v>
      </x:c>
    </x:row>
    <x:row r="151">
      <x:c r="A151" s="9" t="str">
        <x:v>RUN-G-095</x:v>
      </x:c>
      <x:c r="B151" s="9" t="str">
        <x:v>CRM-019</x:v>
      </x:c>
      <x:c r="C151" s="9" t="str">
        <x:v>REGRESSION</x:v>
      </x:c>
      <x:c r="D151" s="9" t="str">
        <x:v>1.2.3+156</x:v>
      </x:c>
      <x:c r="E151" s="9" t="str">
        <x:v>staff/assigned teacher</x:v>
      </x:c>
      <x:c r="F151" s="9" t="str">
        <x:v>Flutter</x:v>
      </x:c>
      <x:c r="G151" s="9" t="str">
        <x:v>actor client scope</x:v>
      </x:c>
      <x:c r="H151" s="9" t="str">
        <x:v>2026-08-06</x:v>
      </x:c>
      <x:c r="I151" s="9" t="str">
        <x:v>PASS</x:v>
      </x:c>
      <x:c r="J151" s="9" t="str">
        <x:v>Post-fix acceptance passed for Student search typing: 1 exact named test(s) matched and passed on build 1.2.3+156.</x:v>
      </x:c>
      <x:c r="K151" s="9" t="str">
        <x:v>evidence/flutter-test-machine-final-156.ndjson</x:v>
      </x:c>
      <x:c r="L151" s="9" t="str"/>
      <x:c r="M151" s="9" t="str">
        <x:v>Codex</x:v>
      </x:c>
      <x:c r="N151" s="9" t="str">
        <x:v>Flutter: test/features/manager/realtime_poll_ux_test.dart :: student search is local and keeps focus while typing</x:v>
      </x:c>
    </x:row>
    <x:row r="152">
      <x:c r="A152" s="9" t="str">
        <x:v>RUN-G-096</x:v>
      </x:c>
      <x:c r="B152" s="9" t="str">
        <x:v>CRM-020</x:v>
      </x:c>
      <x:c r="C152" s="9" t="str">
        <x:v>REGRESSION</x:v>
      </x:c>
      <x:c r="D152" s="9" t="str">
        <x:v>1.2.3+156</x:v>
      </x:c>
      <x:c r="E152" s="9" t="str">
        <x:v>staff пользователь</x:v>
      </x:c>
      <x:c r="F152" s="9" t="str">
        <x:v>Flutter</x:v>
      </x:c>
      <x:c r="G152" s="9" t="str">
        <x:v>crm.client.write</x:v>
      </x:c>
      <x:c r="H152" s="9" t="str">
        <x:v>2026-08-06</x:v>
      </x:c>
      <x:c r="I152" s="9" t="str">
        <x:v>PASS</x:v>
      </x:c>
      <x:c r="J152" s="9" t="str">
        <x:v>Post-fix acceptance passed for Create Student: 1 exact named test(s) matched and passed on build 1.2.3+156.</x:v>
      </x:c>
      <x:c r="K152" s="9" t="str">
        <x:v>evidence/flutter-test-machine-final-156.ndjson</x:v>
      </x:c>
      <x:c r="L152" s="9" t="str"/>
      <x:c r="M152" s="9" t="str">
        <x:v>Codex</x:v>
      </x:c>
      <x:c r="N152" s="9" t="str">
        <x:v>Flutter: test/core/services/magic_crm_service_test.dart :: MagicCrmService creates students teachers and staff through v3 API</x:v>
      </x:c>
    </x:row>
    <x:row r="153">
      <x:c r="A153" s="9" t="str">
        <x:v>RUN-G-097</x:v>
      </x:c>
      <x:c r="B153" s="9" t="str">
        <x:v>CRM-021</x:v>
      </x:c>
      <x:c r="C153" s="9" t="str">
        <x:v>REGRESSION</x:v>
      </x:c>
      <x:c r="D153" s="9" t="str">
        <x:v>1.2.3+156</x:v>
      </x:c>
      <x:c r="E153" s="9" t="str">
        <x:v>staff пользователь</x:v>
      </x:c>
      <x:c r="F153" s="9" t="str">
        <x:v>Flutter</x:v>
      </x:c>
      <x:c r="G153" s="9" t="str">
        <x:v>crm.client.write + scope</x:v>
      </x:c>
      <x:c r="H153" s="9" t="str">
        <x:v>2026-08-06</x:v>
      </x:c>
      <x:c r="I153" s="9" t="str">
        <x:v>PASS</x:v>
      </x:c>
      <x:c r="J153" s="9" t="str">
        <x:v>Post-fix acceptance passed for Edit Student: 1 exact named test(s) matched and passed on build 1.2.3+156.</x:v>
      </x:c>
      <x:c r="K153" s="9" t="str">
        <x:v>evidence/flutter-test-machine-final-156.ndjson</x:v>
      </x:c>
      <x:c r="L153" s="9" t="str"/>
      <x:c r="M153" s="9" t="str">
        <x:v>Codex</x:v>
      </x:c>
      <x:c r="N153" s="9" t="str">
        <x:v>Flutter: test/core/services/magic_crm_service_test.dart :: MagicCrmService gets updates students and creates comments through v3 API</x:v>
      </x:c>
    </x:row>
    <x:row r="154">
      <x:c r="A154" s="9" t="str">
        <x:v>RUN-G-098</x:v>
      </x:c>
      <x:c r="B154" s="9" t="str">
        <x:v>CRM-022</x:v>
      </x:c>
      <x:c r="C154" s="9" t="str">
        <x:v>REGRESSION</x:v>
      </x:c>
      <x:c r="D154" s="9" t="str">
        <x:v>1.2.3+156</x:v>
      </x:c>
      <x:c r="E154" s="9" t="str">
        <x:v>staff пользователь</x:v>
      </x:c>
      <x:c r="F154" s="9" t="str">
        <x:v>Server</x:v>
      </x:c>
      <x:c r="G154" s="9" t="str">
        <x:v>crm.client.write</x:v>
      </x:c>
      <x:c r="H154" s="9" t="str">
        <x:v>2026-08-06</x:v>
      </x:c>
      <x:c r="I154" s="9" t="str">
        <x:v>PASS</x:v>
      </x:c>
      <x:c r="J154" s="9" t="str">
        <x:v>Post-fix acceptance passed for Move Student stage: 1 exact named test(s) matched and passed on build 1.2.3+156.</x:v>
      </x:c>
      <x:c r="K154" s="9" t="str">
        <x:v>evidence/server-test-json-final-156.json</x:v>
      </x:c>
      <x:c r="L154" s="9" t="str"/>
      <x:c r="M154" s="9" t="str">
        <x:v>Codex</x:v>
      </x:c>
      <x:c r="N154" s="9" t="str">
        <x:v>Server: server/src/crm/crm.service.spec.ts :: CrmService records a student_status_history row when status changes</x:v>
      </x:c>
    </x:row>
    <x:row r="155">
      <x:c r="A155" s="9" t="str">
        <x:v>RUN-G-099</x:v>
      </x:c>
      <x:c r="B155" s="9" t="str">
        <x:v>CRM-023</x:v>
      </x:c>
      <x:c r="C155" s="9" t="str">
        <x:v>REGRESSION</x:v>
      </x:c>
      <x:c r="D155" s="9" t="str">
        <x:v>1.2.3+156</x:v>
      </x:c>
      <x:c r="E155" s="9" t="str">
        <x:v>разрешённый staff</x:v>
      </x:c>
      <x:c r="F155" s="9" t="str">
        <x:v>Server</x:v>
      </x:c>
      <x:c r="G155" s="9" t="str">
        <x:v>crm.client.write</x:v>
      </x:c>
      <x:c r="H155" s="9" t="str">
        <x:v>2026-08-06</x:v>
      </x:c>
      <x:c r="I155" s="9" t="str">
        <x:v>PASS</x:v>
      </x:c>
      <x:c r="J155" s="9" t="str">
        <x:v>Post-fix acceptance passed for Return Student to Lead: 1 exact named test(s) matched and passed on build 1.2.3+156.</x:v>
      </x:c>
      <x:c r="K155" s="9" t="str">
        <x:v>evidence/server-test-json-final-156.json</x:v>
      </x:c>
      <x:c r="L155" s="9" t="str"/>
      <x:c r="M155" s="9" t="str">
        <x:v>Codex</x:v>
      </x:c>
      <x:c r="N155" s="9" t="str">
        <x:v>Server: server/src/crm/crm.service.spec.ts :: CrmService returns a linked student back to its existing lead</x:v>
      </x:c>
    </x:row>
    <x:row r="156">
      <x:c r="A156" s="9" t="str">
        <x:v>RUN-G-100</x:v>
      </x:c>
      <x:c r="B156" s="9" t="str">
        <x:v>CRM-024</x:v>
      </x:c>
      <x:c r="C156" s="9" t="str">
        <x:v>REGRESSION</x:v>
      </x:c>
      <x:c r="D156" s="9" t="str">
        <x:v>1.2.3+156</x:v>
      </x:c>
      <x:c r="E156" s="9" t="str">
        <x:v>staff пользователь</x:v>
      </x:c>
      <x:c r="F156" s="9" t="str">
        <x:v>Server</x:v>
      </x:c>
      <x:c r="G156" s="9" t="str">
        <x:v>crm.client.write</x:v>
      </x:c>
      <x:c r="H156" s="9" t="str">
        <x:v>2026-08-06</x:v>
      </x:c>
      <x:c r="I156" s="9" t="str">
        <x:v>PASS</x:v>
      </x:c>
      <x:c r="J156" s="9" t="str">
        <x:v>Post-fix acceptance passed for Invite Student: 1 exact named test(s) matched and passed on build 1.2.3+156.</x:v>
      </x:c>
      <x:c r="K156" s="9" t="str">
        <x:v>evidence/server-test-json-final-156.json</x:v>
      </x:c>
      <x:c r="L156" s="9" t="str"/>
      <x:c r="M156" s="9" t="str">
        <x:v>Codex</x:v>
      </x:c>
      <x:c r="N156" s="9" t="str">
        <x:v>Server: server/src/crm/crm.service.spec.ts :: CrmService queues student invitation email without activating app account</x:v>
      </x:c>
    </x:row>
    <x:row r="157">
      <x:c r="A157" s="9" t="str">
        <x:v>RUN-G-101</x:v>
      </x:c>
      <x:c r="B157" s="9" t="str">
        <x:v>CRM-025</x:v>
      </x:c>
      <x:c r="C157" s="9" t="str">
        <x:v>REGRESSION</x:v>
      </x:c>
      <x:c r="D157" s="9" t="str">
        <x:v>1.2.3+156</x:v>
      </x:c>
      <x:c r="E157" s="9" t="str">
        <x:v>staff/assigned teacher</x:v>
      </x:c>
      <x:c r="F157" s="9" t="str">
        <x:v>Flutter</x:v>
      </x:c>
      <x:c r="G157" s="9" t="str">
        <x:v>actor client scope</x:v>
      </x:c>
      <x:c r="H157" s="9" t="str">
        <x:v>2026-08-06</x:v>
      </x:c>
      <x:c r="I157" s="9" t="str">
        <x:v>PASS</x:v>
      </x:c>
      <x:c r="J157" s="9" t="str">
        <x:v>Post-fix acceptance passed for Open client workspace: 1 exact named test(s) matched and passed on build 1.2.3+156.</x:v>
      </x:c>
      <x:c r="K157" s="9" t="str">
        <x:v>evidence/flutter-test-machine-final-156.ndjson</x:v>
      </x:c>
      <x:c r="L157" s="9" t="str"/>
      <x:c r="M157" s="9" t="str">
        <x:v>Codex</x:v>
      </x:c>
      <x:c r="N157" s="9" t="str">
        <x:v>Flutter: test/features/v6/client_workspace_route_test.dart :: production desktop host mounts the routed client workspace</x:v>
      </x:c>
    </x:row>
    <x:row r="158">
      <x:c r="A158" s="9" t="str">
        <x:v>RUN-G-102</x:v>
      </x:c>
      <x:c r="B158" s="9" t="str">
        <x:v>CRM-026</x:v>
      </x:c>
      <x:c r="C158" s="9" t="str">
        <x:v>REGRESSION</x:v>
      </x:c>
      <x:c r="D158" s="9" t="str">
        <x:v>1.2.3+156</x:v>
      </x:c>
      <x:c r="E158" s="9" t="str">
        <x:v>staff пользователь</x:v>
      </x:c>
      <x:c r="F158" s="9" t="str">
        <x:v>Flutter</x:v>
      </x:c>
      <x:c r="G158" s="9" t="str">
        <x:v>capability projected</x:v>
      </x:c>
      <x:c r="H158" s="9" t="str">
        <x:v>2026-08-06</x:v>
      </x:c>
      <x:c r="I158" s="9" t="str">
        <x:v>PASS</x:v>
      </x:c>
      <x:c r="J158" s="9" t="str">
        <x:v>Post-fix acceptance passed for Client tab navigation: 1 exact named test(s) matched and passed on build 1.2.3+156.</x:v>
      </x:c>
      <x:c r="K158" s="9" t="str">
        <x:v>evidence/flutter-test-machine-final-156.ndjson</x:v>
      </x:c>
      <x:c r="L158" s="9" t="str"/>
      <x:c r="M158" s="9" t="str">
        <x:v>Codex</x:v>
      </x:c>
      <x:c r="N158" s="9" t="str">
        <x:v>Flutter: test/features/v6/client_workspace_route_test.dart :: admin fills 840 and restores section</x:v>
      </x:c>
    </x:row>
    <x:row r="159">
      <x:c r="A159" s="9" t="str">
        <x:v>RUN-G-103</x:v>
      </x:c>
      <x:c r="B159" s="9" t="str">
        <x:v>CRM-027</x:v>
      </x:c>
      <x:c r="C159" s="9" t="str">
        <x:v>REGRESSION</x:v>
      </x:c>
      <x:c r="D159" s="9" t="str">
        <x:v>1.2.3+156</x:v>
      </x:c>
      <x:c r="E159" s="9" t="str">
        <x:v>staff/assigned teacher</x:v>
      </x:c>
      <x:c r="F159" s="9" t="str">
        <x:v>Server</x:v>
      </x:c>
      <x:c r="G159" s="9" t="str">
        <x:v>actor client scope</x:v>
      </x:c>
      <x:c r="H159" s="9" t="str">
        <x:v>2026-08-06</x:v>
      </x:c>
      <x:c r="I159" s="9" t="str">
        <x:v>PASS</x:v>
      </x:c>
      <x:c r="J159" s="9" t="str">
        <x:v>Post-fix acceptance passed for Client timeline: 1 exact named test(s) matched and passed on build 1.2.3+156.</x:v>
      </x:c>
      <x:c r="K159" s="9" t="str">
        <x:v>evidence/server-test-json-final-156.json</x:v>
      </x:c>
      <x:c r="L159" s="9" t="str"/>
      <x:c r="M159" s="9" t="str">
        <x:v>Codex</x:v>
      </x:c>
      <x:c r="N159" s="9" t="str">
        <x:v>Server: server/src/crm/leads.service.spec.ts :: LeadsService returns lead card aggregate with linked records and timeline</x:v>
      </x:c>
    </x:row>
    <x:row r="160">
      <x:c r="A160" s="9" t="str">
        <x:v>RUN-G-104</x:v>
      </x:c>
      <x:c r="B160" s="9" t="str">
        <x:v>CRM-028</x:v>
      </x:c>
      <x:c r="C160" s="9" t="str">
        <x:v>REGRESSION</x:v>
      </x:c>
      <x:c r="D160" s="9" t="str">
        <x:v>1.2.3+156</x:v>
      </x:c>
      <x:c r="E160" s="9" t="str">
        <x:v>staff/teacher</x:v>
      </x:c>
      <x:c r="F160" s="9" t="str">
        <x:v>Server</x:v>
      </x:c>
      <x:c r="G160" s="9" t="str">
        <x:v>comment policy</x:v>
      </x:c>
      <x:c r="H160" s="9" t="str">
        <x:v>2026-08-06</x:v>
      </x:c>
      <x:c r="I160" s="9" t="str">
        <x:v>PASS</x:v>
      </x:c>
      <x:c r="J160" s="9" t="str">
        <x:v>Post-fix acceptance passed for Client comments: 1 exact named test(s) matched and passed on build 1.2.3+156.</x:v>
      </x:c>
      <x:c r="K160" s="9" t="str">
        <x:v>evidence/server-test-json-final-156.json</x:v>
      </x:c>
      <x:c r="L160" s="9" t="str"/>
      <x:c r="M160" s="9" t="str">
        <x:v>Codex</x:v>
      </x:c>
      <x:c r="N160" s="9" t="str">
        <x:v>Server: server/src/crm/clients/client-card.integration.spec.ts :: ClientCardReadService (PostgreSQL) returns only assigned learning context and shared comments to Teacher</x:v>
      </x:c>
    </x:row>
    <x:row r="161">
      <x:c r="A161" s="9" t="str">
        <x:v>RUN-G-105</x:v>
      </x:c>
      <x:c r="B161" s="9" t="str">
        <x:v>CRM-029</x:v>
      </x:c>
      <x:c r="C161" s="9" t="str">
        <x:v>REGRESSION</x:v>
      </x:c>
      <x:c r="D161" s="9" t="str">
        <x:v>1.2.3+156</x:v>
      </x:c>
      <x:c r="E161" s="9" t="str">
        <x:v>staff пользователь</x:v>
      </x:c>
      <x:c r="F161" s="9" t="str">
        <x:v>Server</x:v>
      </x:c>
      <x:c r="G161" s="9" t="str">
        <x:v>crm.client.write</x:v>
      </x:c>
      <x:c r="H161" s="9" t="str">
        <x:v>2026-08-06</x:v>
      </x:c>
      <x:c r="I161" s="9" t="str">
        <x:v>PASS</x:v>
      </x:c>
      <x:c r="J161" s="9" t="str">
        <x:v>Post-fix acceptance passed for Comment visibility: 1 exact named test(s) matched and passed on build 1.2.3+156.</x:v>
      </x:c>
      <x:c r="K161" s="9" t="str">
        <x:v>evidence/server-test-json-final-156.json</x:v>
      </x:c>
      <x:c r="L161" s="9" t="str"/>
      <x:c r="M161" s="9" t="str">
        <x:v>Codex</x:v>
      </x:c>
      <x:c r="N161" s="9" t="str">
        <x:v>Server: server/src/crm/clients/comment-sharing-postgres.integration.spec.ts :: Comment sharing (PostgreSQL) returns only explicitly shared comments to an assigned teacher</x:v>
      </x:c>
    </x:row>
    <x:row r="162">
      <x:c r="A162" s="9" t="str">
        <x:v>RUN-G-106</x:v>
      </x:c>
      <x:c r="B162" s="9" t="str">
        <x:v>CRM-030</x:v>
      </x:c>
      <x:c r="C162" s="9" t="str">
        <x:v>REGRESSION</x:v>
      </x:c>
      <x:c r="D162" s="9" t="str">
        <x:v>1.2.3+156</x:v>
      </x:c>
      <x:c r="E162" s="9" t="str">
        <x:v>staff пользователь</x:v>
      </x:c>
      <x:c r="F162" s="9" t="str">
        <x:v>Server</x:v>
      </x:c>
      <x:c r="G162" s="9" t="str">
        <x:v>crm.client.write</x:v>
      </x:c>
      <x:c r="H162" s="9" t="str">
        <x:v>2026-08-06</x:v>
      </x:c>
      <x:c r="I162" s="9" t="str">
        <x:v>PASS</x:v>
      </x:c>
      <x:c r="J162" s="9" t="str">
        <x:v>Post-fix acceptance passed for Family: 1 exact named test(s) matched and passed on build 1.2.3+156.</x:v>
      </x:c>
      <x:c r="K162" s="9" t="str">
        <x:v>evidence/server-test-json-final-156.json</x:v>
      </x:c>
      <x:c r="L162" s="9" t="str"/>
      <x:c r="M162" s="9" t="str">
        <x:v>Codex</x:v>
      </x:c>
      <x:c r="N162" s="9" t="str">
        <x:v>Server: server/src/crm/family.service.spec.ts :: FamilyService returns a family with members and resolved names for an entity</x:v>
      </x:c>
    </x:row>
    <x:row r="163">
      <x:c r="A163" s="9" t="str">
        <x:v>RUN-G-107</x:v>
      </x:c>
      <x:c r="B163" s="9" t="str">
        <x:v>CRM-031</x:v>
      </x:c>
      <x:c r="C163" s="9" t="str">
        <x:v>REGRESSION</x:v>
      </x:c>
      <x:c r="D163" s="9" t="str">
        <x:v>1.2.3+156</x:v>
      </x:c>
      <x:c r="E163" s="9" t="str">
        <x:v>staff пользователь</x:v>
      </x:c>
      <x:c r="F163" s="9" t="str">
        <x:v>Server</x:v>
      </x:c>
      <x:c r="G163" s="9" t="str">
        <x:v>crm.client.write</x:v>
      </x:c>
      <x:c r="H163" s="9" t="str">
        <x:v>2026-08-06</x:v>
      </x:c>
      <x:c r="I163" s="9" t="str">
        <x:v>PASS</x:v>
      </x:c>
      <x:c r="J163" s="9" t="str">
        <x:v>Post-fix acceptance passed for Linked user: 1 exact named test(s) matched and passed on build 1.2.3+156.</x:v>
      </x:c>
      <x:c r="K163" s="9" t="str">
        <x:v>evidence/server-test-json-final-156.json</x:v>
      </x:c>
      <x:c r="L163" s="9" t="str"/>
      <x:c r="M163" s="9" t="str">
        <x:v>Codex</x:v>
      </x:c>
      <x:c r="N163" s="9" t="str">
        <x:v>Server: server/src/crm/client-linking.service.spec.ts :: ClientLinkingService linkUserToClient inserts a manual link, audits, and returns linked users</x:v>
      </x:c>
    </x:row>
    <x:row r="164">
      <x:c r="A164" s="9" t="str">
        <x:v>RUN-G-108</x:v>
      </x:c>
      <x:c r="B164" s="9" t="str">
        <x:v>CRM-032</x:v>
      </x:c>
      <x:c r="C164" s="9" t="str">
        <x:v>REGRESSION</x:v>
      </x:c>
      <x:c r="D164" s="9" t="str">
        <x:v>1.2.3+156</x:v>
      </x:c>
      <x:c r="E164" s="9" t="str">
        <x:v>staff/assigned teacher</x:v>
      </x:c>
      <x:c r="F164" s="9" t="str">
        <x:v>Flutter</x:v>
      </x:c>
      <x:c r="G164" s="9" t="str">
        <x:v>actor scope</x:v>
      </x:c>
      <x:c r="H164" s="9" t="str">
        <x:v>2026-08-06</x:v>
      </x:c>
      <x:c r="I164" s="9" t="str">
        <x:v>PASS</x:v>
      </x:c>
      <x:c r="J164" s="9" t="str">
        <x:v>Post-fix acceptance passed for Client groups: 1 exact named test(s) matched and passed on build 1.2.3+156.</x:v>
      </x:c>
      <x:c r="K164" s="9" t="str">
        <x:v>evidence/flutter-test-machine-final-156.ndjson</x:v>
      </x:c>
      <x:c r="L164" s="9" t="str"/>
      <x:c r="M164" s="9" t="str">
        <x:v>Codex</x:v>
      </x:c>
      <x:c r="N164" s="9" t="str">
        <x:v>Flutter: test/core/services/magic_crm_service_test.dart :: MagicCrmService lists student groups through v3 API</x:v>
      </x:c>
    </x:row>
    <x:row r="165">
      <x:c r="A165" s="9" t="str">
        <x:v>RUN-G-109</x:v>
      </x:c>
      <x:c r="B165" s="9" t="str">
        <x:v>CRM-033</x:v>
      </x:c>
      <x:c r="C165" s="9" t="str">
        <x:v>REGRESSION</x:v>
      </x:c>
      <x:c r="D165" s="9" t="str">
        <x:v>1.2.3+156</x:v>
      </x:c>
      <x:c r="E165" s="9" t="str">
        <x:v>teacher/staff</x:v>
      </x:c>
      <x:c r="F165" s="9" t="str">
        <x:v>Server</x:v>
      </x:c>
      <x:c r="G165" s="9" t="str">
        <x:v>assigned teacher or staff</x:v>
      </x:c>
      <x:c r="H165" s="9" t="str">
        <x:v>2026-08-06</x:v>
      </x:c>
      <x:c r="I165" s="9" t="str">
        <x:v>PASS</x:v>
      </x:c>
      <x:c r="J165" s="9" t="str">
        <x:v>Post-fix acceptance passed for Homework create: 1 exact named test(s) matched and passed on build 1.2.3+156.</x:v>
      </x:c>
      <x:c r="K165" s="9" t="str">
        <x:v>evidence/server-test-json-final-156.json</x:v>
      </x:c>
      <x:c r="L165" s="9" t="str"/>
      <x:c r="M165" s="9" t="str">
        <x:v>Codex</x:v>
      </x:c>
      <x:c r="N165" s="9" t="str">
        <x:v>Server: server/src/crm/homework.service.spec.ts :: HomeworkService creates a homework through operational-data policy and audit (P5c)</x:v>
      </x:c>
    </x:row>
    <x:row r="166">
      <x:c r="A166" s="9" t="str">
        <x:v>RUN-G-110</x:v>
      </x:c>
      <x:c r="B166" s="9" t="str">
        <x:v>CRM-034</x:v>
      </x:c>
      <x:c r="C166" s="9" t="str">
        <x:v>REGRESSION</x:v>
      </x:c>
      <x:c r="D166" s="9" t="str">
        <x:v>1.2.3+156</x:v>
      </x:c>
      <x:c r="E166" s="9" t="str">
        <x:v>разрешённый автор</x:v>
      </x:c>
      <x:c r="F166" s="9" t="str">
        <x:v>Server</x:v>
      </x:c>
      <x:c r="G166" s="9" t="str">
        <x:v>homework policy</x:v>
      </x:c>
      <x:c r="H166" s="9" t="str">
        <x:v>2026-08-06</x:v>
      </x:c>
      <x:c r="I166" s="9" t="str">
        <x:v>PASS</x:v>
      </x:c>
      <x:c r="J166" s="9" t="str">
        <x:v>Post-fix acceptance passed for Homework update: 1 exact named test(s) matched and passed on build 1.2.3+156.</x:v>
      </x:c>
      <x:c r="K166" s="9" t="str">
        <x:v>evidence/server-test-json-final-156.json</x:v>
      </x:c>
      <x:c r="L166" s="9" t="str"/>
      <x:c r="M166" s="9" t="str">
        <x:v>Codex</x:v>
      </x:c>
      <x:c r="N166" s="9" t="str">
        <x:v>Server: server/src/crm/homework.service.spec.ts :: HomeworkService publishes an updated homework to its address-scoped audience</x:v>
      </x:c>
    </x:row>
    <x:row r="167">
      <x:c r="A167" s="9" t="str">
        <x:v>RUN-G-111</x:v>
      </x:c>
      <x:c r="B167" s="9" t="str">
        <x:v>CRM-035</x:v>
      </x:c>
      <x:c r="C167" s="9" t="str">
        <x:v>REGRESSION</x:v>
      </x:c>
      <x:c r="D167" s="9" t="str">
        <x:v>1.2.3+156</x:v>
      </x:c>
      <x:c r="E167" s="9" t="str">
        <x:v>teacher/student</x:v>
      </x:c>
      <x:c r="F167" s="9" t="str">
        <x:v>Server</x:v>
      </x:c>
      <x:c r="G167" s="9" t="str">
        <x:v>homework policy</x:v>
      </x:c>
      <x:c r="H167" s="9" t="str">
        <x:v>2026-08-06</x:v>
      </x:c>
      <x:c r="I167" s="9" t="str">
        <x:v>PASS</x:v>
      </x:c>
      <x:c r="J167" s="9" t="str">
        <x:v>Post-fix acceptance passed for Homework attachment: 1 exact named test(s) matched and passed on build 1.2.3+156.</x:v>
      </x:c>
      <x:c r="K167" s="9" t="str">
        <x:v>evidence/server-test-json-final-156.json</x:v>
      </x:c>
      <x:c r="L167" s="9" t="str"/>
      <x:c r="M167" s="9" t="str">
        <x:v>Codex</x:v>
      </x:c>
      <x:c r="N167" s="9" t="str">
        <x:v>Server: server/src/files/file-validator.service.spec.ts :: FileValidator accepts a homework attachment at the 25MB limit (P5c)</x:v>
      </x:c>
    </x:row>
    <x:row r="168">
      <x:c r="A168" s="9" t="str">
        <x:v>RUN-G-112</x:v>
      </x:c>
      <x:c r="B168" s="9" t="str">
        <x:v>CRM-036</x:v>
      </x:c>
      <x:c r="C168" s="9" t="str">
        <x:v>REGRESSION</x:v>
      </x:c>
      <x:c r="D168" s="9" t="str">
        <x:v>1.2.3+156</x:v>
      </x:c>
      <x:c r="E168" s="9" t="str">
        <x:v>student</x:v>
      </x:c>
      <x:c r="F168" s="9" t="str">
        <x:v>Server</x:v>
      </x:c>
      <x:c r="G168" s="9" t="str">
        <x:v>student self</x:v>
      </x:c>
      <x:c r="H168" s="9" t="str">
        <x:v>2026-08-06</x:v>
      </x:c>
      <x:c r="I168" s="9" t="str">
        <x:v>PASS</x:v>
      </x:c>
      <x:c r="J168" s="9" t="str">
        <x:v>Post-fix acceptance passed for Homework submit: 1 exact named test(s) matched and passed on build 1.2.3+156.</x:v>
      </x:c>
      <x:c r="K168" s="9" t="str">
        <x:v>evidence/server-test-json-final-156.json</x:v>
      </x:c>
      <x:c r="L168" s="9" t="str"/>
      <x:c r="M168" s="9" t="str">
        <x:v>Codex</x:v>
      </x:c>
      <x:c r="N168" s="9" t="str">
        <x:v>Server: server/src/crm/homework.service.spec.ts :: HomeworkService submits a homework as the owning client (P5c)</x:v>
      </x:c>
    </x:row>
    <x:row r="169">
      <x:c r="A169" s="9" t="str">
        <x:v>RUN-G-113</x:v>
      </x:c>
      <x:c r="B169" s="9" t="str">
        <x:v>CRM-037</x:v>
      </x:c>
      <x:c r="C169" s="9" t="str">
        <x:v>REGRESSION</x:v>
      </x:c>
      <x:c r="D169" s="9" t="str">
        <x:v>1.2.3+156</x:v>
      </x:c>
      <x:c r="E169" s="9" t="str">
        <x:v>staff пользователь</x:v>
      </x:c>
      <x:c r="F169" s="9" t="str">
        <x:v>Flutter</x:v>
      </x:c>
      <x:c r="G169" s="9" t="str">
        <x:v>crm.client.write</x:v>
      </x:c>
      <x:c r="H169" s="9" t="str">
        <x:v>2026-08-06</x:v>
      </x:c>
      <x:c r="I169" s="9" t="str">
        <x:v>PASS</x:v>
      </x:c>
      <x:c r="J169" s="9" t="str">
        <x:v>Post-fix acceptance passed for Preferred schedule: 1 exact named test(s) matched and passed on build 1.2.3+156.</x:v>
      </x:c>
      <x:c r="K169" s="9" t="str">
        <x:v>evidence/flutter-test-machine-final-156.ndjson</x:v>
      </x:c>
      <x:c r="L169" s="9" t="str"/>
      <x:c r="M169" s="9" t="str">
        <x:v>Codex</x:v>
      </x:c>
      <x:c r="N169" s="9" t="str">
        <x:v>Flutter: test/core/services/magic_crm_service_test.dart :: MagicCrmService client preferred schedule uses typed clientRef and finite range</x:v>
      </x:c>
    </x:row>
    <x:row r="170">
      <x:c r="A170" s="9" t="str">
        <x:v>RUN-G-114</x:v>
      </x:c>
      <x:c r="B170" s="9" t="str">
        <x:v>PORT-001</x:v>
      </x:c>
      <x:c r="C170" s="9" t="str">
        <x:v>REGRESSION</x:v>
      </x:c>
      <x:c r="D170" s="9" t="str">
        <x:v>1.2.3+156</x:v>
      </x:c>
      <x:c r="E170" s="9" t="str">
        <x:v>клиент</x:v>
      </x:c>
      <x:c r="F170" s="9" t="str">
        <x:v>Flutter</x:v>
      </x:c>
      <x:c r="G170" s="9" t="str">
        <x:v>client self</x:v>
      </x:c>
      <x:c r="H170" s="9" t="str">
        <x:v>2026-08-06</x:v>
      </x:c>
      <x:c r="I170" s="9" t="str">
        <x:v>PASS</x:v>
      </x:c>
      <x:c r="J170" s="9" t="str">
        <x:v>Post-fix acceptance passed for Upcoming lessons: 1 exact named test(s) matched and passed on build 1.2.3+156.</x:v>
      </x:c>
      <x:c r="K170" s="9" t="str">
        <x:v>evidence/flutter-test-machine-final-156.ndjson</x:v>
      </x:c>
      <x:c r="L170" s="9" t="str"/>
      <x:c r="M170" s="9" t="str">
        <x:v>Codex</x:v>
      </x:c>
      <x:c r="N170" s="9" t="str">
        <x:v>Flutter: test/features/client/upcoming_lessons_trial_test.dart :: клиент видит явную метку пробного урока</x:v>
      </x:c>
    </x:row>
    <x:row r="171">
      <x:c r="A171" s="9" t="str">
        <x:v>RUN-G-115</x:v>
      </x:c>
      <x:c r="B171" s="9" t="str">
        <x:v>PORT-002</x:v>
      </x:c>
      <x:c r="C171" s="9" t="str">
        <x:v>REGRESSION</x:v>
      </x:c>
      <x:c r="D171" s="9" t="str">
        <x:v>1.2.3+156</x:v>
      </x:c>
      <x:c r="E171" s="9" t="str">
        <x:v>клиент</x:v>
      </x:c>
      <x:c r="F171" s="9" t="str">
        <x:v>Server</x:v>
      </x:c>
      <x:c r="G171" s="9" t="str">
        <x:v>client self</x:v>
      </x:c>
      <x:c r="H171" s="9" t="str">
        <x:v>2026-08-06</x:v>
      </x:c>
      <x:c r="I171" s="9" t="str">
        <x:v>PASS</x:v>
      </x:c>
      <x:c r="J171" s="9" t="str">
        <x:v>Post-fix acceptance passed for Lesson history: 1 exact named test(s) matched and passed on build 1.2.3+156.</x:v>
      </x:c>
      <x:c r="K171" s="9" t="str">
        <x:v>evidence/server-test-json-final-156.json</x:v>
      </x:c>
      <x:c r="L171" s="9" t="str"/>
      <x:c r="M171" s="9" t="str">
        <x:v>Codex</x:v>
      </x:c>
      <x:c r="N171" s="9" t="str">
        <x:v>Server: server/src/crm/schedule.service.spec.ts :: ScheduleService schedule conflicts (контракты 1-2, правки №2) orders the client history desc when asked (recent lessons first)</x:v>
      </x:c>
    </x:row>
    <x:row r="172">
      <x:c r="A172" s="9" t="str">
        <x:v>RUN-G-116</x:v>
      </x:c>
      <x:c r="B172" s="9" t="str">
        <x:v>PORT-003</x:v>
      </x:c>
      <x:c r="C172" s="9" t="str">
        <x:v>REGRESSION</x:v>
      </x:c>
      <x:c r="D172" s="9" t="str">
        <x:v>1.2.3+156</x:v>
      </x:c>
      <x:c r="E172" s="9" t="str">
        <x:v>клиент</x:v>
      </x:c>
      <x:c r="F172" s="9" t="str">
        <x:v>Server</x:v>
      </x:c>
      <x:c r="G172" s="9" t="str">
        <x:v>client self</x:v>
      </x:c>
      <x:c r="H172" s="9" t="str">
        <x:v>2026-08-06</x:v>
      </x:c>
      <x:c r="I172" s="9" t="str">
        <x:v>PASS</x:v>
      </x:c>
      <x:c r="J172" s="9" t="str">
        <x:v>Post-fix acceptance passed for Homework list: 1 exact named test(s) matched and passed on build 1.2.3+156.</x:v>
      </x:c>
      <x:c r="K172" s="9" t="str">
        <x:v>evidence/server-test-json-final-156.json</x:v>
      </x:c>
      <x:c r="L172" s="9" t="str"/>
      <x:c r="M172" s="9" t="str">
        <x:v>Codex</x:v>
      </x:c>
      <x:c r="N172" s="9" t="str">
        <x:v>Server: server/src/crm/homework.service.spec.ts :: HomeworkService forbids submitting a homework owned by another client (P5c)</x:v>
      </x:c>
    </x:row>
    <x:row r="173">
      <x:c r="A173" s="9" t="str">
        <x:v>RUN-G-117</x:v>
      </x:c>
      <x:c r="B173" s="9" t="str">
        <x:v>PORT-004</x:v>
      </x:c>
      <x:c r="C173" s="9" t="str">
        <x:v>REGRESSION</x:v>
      </x:c>
      <x:c r="D173" s="9" t="str">
        <x:v>1.2.3+156</x:v>
      </x:c>
      <x:c r="E173" s="9" t="str">
        <x:v>клиент</x:v>
      </x:c>
      <x:c r="F173" s="9" t="str">
        <x:v>Flutter</x:v>
      </x:c>
      <x:c r="G173" s="9" t="str">
        <x:v>client self finance</x:v>
      </x:c>
      <x:c r="H173" s="9" t="str">
        <x:v>2026-08-06</x:v>
      </x:c>
      <x:c r="I173" s="9" t="str">
        <x:v>PASS</x:v>
      </x:c>
      <x:c r="J173" s="9" t="str">
        <x:v>Post-fix acceptance passed for Subscription summary: 1 exact named test(s) matched and passed on build 1.2.3+156.</x:v>
      </x:c>
      <x:c r="K173" s="9" t="str">
        <x:v>evidence/flutter-test-machine-final-156.ndjson</x:v>
      </x:c>
      <x:c r="L173" s="9" t="str"/>
      <x:c r="M173" s="9" t="str">
        <x:v>Codex</x:v>
      </x:c>
      <x:c r="N173" s="9" t="str">
        <x:v>Flutter: test/features/client/subscription_status_card_test.dart :: renders active subscription without expiration date</x:v>
      </x:c>
    </x:row>
    <x:row r="174">
      <x:c r="A174" s="9" t="str">
        <x:v>RUN-G-118</x:v>
      </x:c>
      <x:c r="B174" s="9" t="str">
        <x:v>PORT-005</x:v>
      </x:c>
      <x:c r="C174" s="9" t="str">
        <x:v>REGRESSION</x:v>
      </x:c>
      <x:c r="D174" s="9" t="str">
        <x:v>1.2.3+156</x:v>
      </x:c>
      <x:c r="E174" s="9" t="str">
        <x:v>клиент</x:v>
      </x:c>
      <x:c r="F174" s="9" t="str">
        <x:v>Server</x:v>
      </x:c>
      <x:c r="G174" s="9" t="str">
        <x:v>client self finance</x:v>
      </x:c>
      <x:c r="H174" s="9" t="str">
        <x:v>2026-08-06</x:v>
      </x:c>
      <x:c r="I174" s="9" t="str">
        <x:v>PASS</x:v>
      </x:c>
      <x:c r="J174" s="9" t="str">
        <x:v>Post-fix acceptance passed for Payment history: 1 exact named test(s) matched and passed on build 1.2.3+156.</x:v>
      </x:c>
      <x:c r="K174" s="9" t="str">
        <x:v>evidence/server-test-json-final-156.json</x:v>
      </x:c>
      <x:c r="L174" s="9" t="str"/>
      <x:c r="M174" s="9" t="str">
        <x:v>Codex</x:v>
      </x:c>
      <x:c r="N174" s="9" t="str">
        <x:v>Server: server/src/crm/commerce/commerce-projections.contract.spec.ts :: v4 commerce projections contract returns the separate client self envelope without embedded internals</x:v>
      </x:c>
    </x:row>
    <x:row r="175">
      <x:c r="A175" s="9" t="str">
        <x:v>RUN-G-119</x:v>
      </x:c>
      <x:c r="B175" s="9" t="str">
        <x:v>PORT-006</x:v>
      </x:c>
      <x:c r="C175" s="9" t="str">
        <x:v>REGRESSION</x:v>
      </x:c>
      <x:c r="D175" s="9" t="str">
        <x:v>1.2.3+156</x:v>
      </x:c>
      <x:c r="E175" s="9" t="str">
        <x:v>клиент</x:v>
      </x:c>
      <x:c r="F175" s="9" t="str">
        <x:v>Server</x:v>
      </x:c>
      <x:c r="G175" s="9" t="str">
        <x:v>client self</x:v>
      </x:c>
      <x:c r="H175" s="9" t="str">
        <x:v>2026-08-06</x:v>
      </x:c>
      <x:c r="I175" s="9" t="str">
        <x:v>PASS</x:v>
      </x:c>
      <x:c r="J175" s="9" t="str">
        <x:v>Post-fix acceptance passed for Self profile: 1 exact named test(s) matched and passed on build 1.2.3+156.</x:v>
      </x:c>
      <x:c r="K175" s="9" t="str">
        <x:v>evidence/server-test-json-final-156.json</x:v>
      </x:c>
      <x:c r="L175" s="9" t="str"/>
      <x:c r="M175" s="9" t="str">
        <x:v>Codex</x:v>
      </x:c>
      <x:c r="N175" s="9" t="str">
        <x:v>Server: server/src/access-control/teacher-projection.contract.spec.ts :: ActorClientProjectionFactory six-role scopes maps client to the isolated client_self contract</x:v>
      </x:c>
    </x:row>
    <x:row r="176">
      <x:c r="A176" s="9" t="str">
        <x:v>RUN-G-120</x:v>
      </x:c>
      <x:c r="B176" s="9" t="str">
        <x:v>PORT-007</x:v>
      </x:c>
      <x:c r="C176" s="9" t="str">
        <x:v>REGRESSION</x:v>
      </x:c>
      <x:c r="D176" s="9" t="str">
        <x:v>1.2.3+156</x:v>
      </x:c>
      <x:c r="E176" s="9" t="str">
        <x:v>клиент</x:v>
      </x:c>
      <x:c r="F176" s="9" t="str">
        <x:v>Server</x:v>
      </x:c>
      <x:c r="G176" s="9" t="str">
        <x:v>client self</x:v>
      </x:c>
      <x:c r="H176" s="9" t="str">
        <x:v>2026-08-06</x:v>
      </x:c>
      <x:c r="I176" s="9" t="str">
        <x:v>PASS</x:v>
      </x:c>
      <x:c r="J176" s="9" t="str">
        <x:v>Post-fix acceptance passed for My school overview: 1 exact named test(s) matched and passed on build 1.2.3+156.</x:v>
      </x:c>
      <x:c r="K176" s="9" t="str">
        <x:v>evidence/server-test-json-final-156.json</x:v>
      </x:c>
      <x:c r="L176" s="9" t="str"/>
      <x:c r="M176" s="9" t="str">
        <x:v>Codex</x:v>
      </x:c>
      <x:c r="N176" s="9" t="str">
        <x:v>Server: server/src/access-control/teacher-projection.contract.spec.ts :: ActorClientProjectionFactory six-role scopes allows Client self scope and hides unrelated Client resources</x:v>
      </x:c>
    </x:row>
    <x:row r="177">
      <x:c r="A177" s="9" t="str">
        <x:v>RUN-G-121</x:v>
      </x:c>
      <x:c r="B177" s="9" t="str">
        <x:v>SCH-001</x:v>
      </x:c>
      <x:c r="C177" s="9" t="str">
        <x:v>REGRESSION</x:v>
      </x:c>
      <x:c r="D177" s="9" t="str">
        <x:v>1.2.3+156</x:v>
      </x:c>
      <x:c r="E177" s="9" t="str">
        <x:v>schedule reader</x:v>
      </x:c>
      <x:c r="F177" s="9" t="str">
        <x:v>Flutter</x:v>
      </x:c>
      <x:c r="G177" s="9" t="str">
        <x:v>schedule.lesson.read</x:v>
      </x:c>
      <x:c r="H177" s="9" t="str">
        <x:v>2026-08-06</x:v>
      </x:c>
      <x:c r="I177" s="9" t="str">
        <x:v>PASS</x:v>
      </x:c>
      <x:c r="J177" s="9" t="str">
        <x:v>Post-fix acceptance passed for Month view: 1 exact named test(s) matched and passed on build 1.2.3+156.</x:v>
      </x:c>
      <x:c r="K177" s="9" t="str">
        <x:v>evidence/flutter-test-machine-final-156.ndjson</x:v>
      </x:c>
      <x:c r="L177" s="9" t="str"/>
      <x:c r="M177" s="9" t="str">
        <x:v>Codex</x:v>
      </x:c>
      <x:c r="N177" s="9" t="str">
        <x:v>Flutter: test/features/v6/client_schedule_calendar_test.dart :: schedule search keeps the view and marks Day Week Month</x:v>
      </x:c>
    </x:row>
    <x:row r="178">
      <x:c r="A178" s="9" t="str">
        <x:v>RUN-G-122</x:v>
      </x:c>
      <x:c r="B178" s="9" t="str">
        <x:v>SCH-002</x:v>
      </x:c>
      <x:c r="C178" s="9" t="str">
        <x:v>REGRESSION</x:v>
      </x:c>
      <x:c r="D178" s="9" t="str">
        <x:v>1.2.3+156</x:v>
      </x:c>
      <x:c r="E178" s="9" t="str">
        <x:v>schedule reader</x:v>
      </x:c>
      <x:c r="F178" s="9" t="str">
        <x:v>Flutter</x:v>
      </x:c>
      <x:c r="G178" s="9" t="str">
        <x:v>schedule.lesson.read</x:v>
      </x:c>
      <x:c r="H178" s="9" t="str">
        <x:v>2026-08-06</x:v>
      </x:c>
      <x:c r="I178" s="9" t="str">
        <x:v>PASS</x:v>
      </x:c>
      <x:c r="J178" s="9" t="str">
        <x:v>Post-fix acceptance passed for Week view: 1 exact named test(s) matched and passed on build 1.2.3+156.</x:v>
      </x:c>
      <x:c r="K178" s="9" t="str">
        <x:v>evidence/flutter-test-machine-final-156.ndjson</x:v>
      </x:c>
      <x:c r="L178" s="9" t="str"/>
      <x:c r="M178" s="9" t="str">
        <x:v>Codex</x:v>
      </x:c>
      <x:c r="N178" s="9" t="str">
        <x:v>Flutter: test/features/admin/schedule_redesign_test.dart :: KVA-195 schedule redesign week canvas maps each column to its own calendar date</x:v>
      </x:c>
    </x:row>
    <x:row r="179">
      <x:c r="A179" s="9" t="str">
        <x:v>RUN-G-123</x:v>
      </x:c>
      <x:c r="B179" s="9" t="str">
        <x:v>SCH-003</x:v>
      </x:c>
      <x:c r="C179" s="9" t="str">
        <x:v>REGRESSION</x:v>
      </x:c>
      <x:c r="D179" s="9" t="str">
        <x:v>1.2.3+156</x:v>
      </x:c>
      <x:c r="E179" s="9" t="str">
        <x:v>schedule reader</x:v>
      </x:c>
      <x:c r="F179" s="9" t="str">
        <x:v>Flutter</x:v>
      </x:c>
      <x:c r="G179" s="9" t="str">
        <x:v>schedule.lesson.read</x:v>
      </x:c>
      <x:c r="H179" s="9" t="str">
        <x:v>2026-08-06</x:v>
      </x:c>
      <x:c r="I179" s="9" t="str">
        <x:v>PASS</x:v>
      </x:c>
      <x:c r="J179" s="9" t="str">
        <x:v>Post-fix acceptance passed for Day view: 1 exact named test(s) matched and passed on build 1.2.3+156.</x:v>
      </x:c>
      <x:c r="K179" s="9" t="str">
        <x:v>evidence/flutter-test-machine-final-156.ndjson</x:v>
      </x:c>
      <x:c r="L179" s="9" t="str"/>
      <x:c r="M179" s="9" t="str">
        <x:v>Codex</x:v>
      </x:c>
      <x:c r="N179" s="9" t="str">
        <x:v>Flutter: test/features/admin/schedule_day_canvas_gestures_test.dart :: overlapping lessons share the column side by side</x:v>
      </x:c>
    </x:row>
    <x:row r="180">
      <x:c r="A180" s="9" t="str">
        <x:v>RUN-G-124</x:v>
      </x:c>
      <x:c r="B180" s="9" t="str">
        <x:v>SCH-004</x:v>
      </x:c>
      <x:c r="C180" s="9" t="str">
        <x:v>REGRESSION</x:v>
      </x:c>
      <x:c r="D180" s="9" t="str">
        <x:v>1.2.3+156</x:v>
      </x:c>
      <x:c r="E180" s="9" t="str">
        <x:v>schedule reader</x:v>
      </x:c>
      <x:c r="F180" s="9" t="str">
        <x:v>Flutter</x:v>
      </x:c>
      <x:c r="G180" s="9" t="str">
        <x:v>schedule.lesson.read</x:v>
      </x:c>
      <x:c r="H180" s="9" t="str">
        <x:v>2026-08-06</x:v>
      </x:c>
      <x:c r="I180" s="9" t="str">
        <x:v>PASS</x:v>
      </x:c>
      <x:c r="J180" s="9" t="str">
        <x:v>Post-fix acceptance passed for Date navigation: 1 exact named test(s) matched and passed on build 1.2.3+156.</x:v>
      </x:c>
      <x:c r="K180" s="9" t="str">
        <x:v>evidence/flutter-test-machine-final-156.ndjson</x:v>
      </x:c>
      <x:c r="L180" s="9" t="str"/>
      <x:c r="M180" s="9" t="str">
        <x:v>Codex</x:v>
      </x:c>
      <x:c r="N180" s="9" t="str">
        <x:v>Flutter: test/features/admin/schedule_navigation_provider_test.dart :: lead card request carries date and lead preset into Schedule</x:v>
      </x:c>
    </x:row>
    <x:row r="181">
      <x:c r="A181" s="9" t="str">
        <x:v>RUN-G-125</x:v>
      </x:c>
      <x:c r="B181" s="9" t="str">
        <x:v>SCH-005</x:v>
      </x:c>
      <x:c r="C181" s="9" t="str">
        <x:v>REGRESSION</x:v>
      </x:c>
      <x:c r="D181" s="9" t="str">
        <x:v>1.2.3+156</x:v>
      </x:c>
      <x:c r="E181" s="9" t="str">
        <x:v>schedule reader</x:v>
      </x:c>
      <x:c r="F181" s="9" t="str">
        <x:v>Flutter</x:v>
      </x:c>
      <x:c r="G181" s="9" t="str">
        <x:v>assigned branch scope</x:v>
      </x:c>
      <x:c r="H181" s="9" t="str">
        <x:v>2026-08-06</x:v>
      </x:c>
      <x:c r="I181" s="9" t="str">
        <x:v>PASS</x:v>
      </x:c>
      <x:c r="J181" s="9" t="str">
        <x:v>Post-fix acceptance passed for Branch filter: 1 exact named test(s) matched and passed on build 1.2.3+156.</x:v>
      </x:c>
      <x:c r="K181" s="9" t="str">
        <x:v>evidence/flutter-test-machine-final-156.ndjson</x:v>
      </x:c>
      <x:c r="L181" s="9" t="str"/>
      <x:c r="M181" s="9" t="str">
        <x:v>Codex</x:v>
      </x:c>
      <x:c r="N181" s="9" t="str">
        <x:v>Flutter: test/features/v6/client_schedule_calendar_test.dart :: mode and branch publish one restorable schedule state</x:v>
      </x:c>
    </x:row>
    <x:row r="182">
      <x:c r="A182" s="9" t="str">
        <x:v>RUN-G-126</x:v>
      </x:c>
      <x:c r="B182" s="9" t="str">
        <x:v>SCH-006</x:v>
      </x:c>
      <x:c r="C182" s="9" t="str">
        <x:v>REGRESSION</x:v>
      </x:c>
      <x:c r="D182" s="9" t="str">
        <x:v>1.2.3+156</x:v>
      </x:c>
      <x:c r="E182" s="9" t="str">
        <x:v>schedule reader</x:v>
      </x:c>
      <x:c r="F182" s="9" t="str">
        <x:v>Flutter</x:v>
      </x:c>
      <x:c r="G182" s="9" t="str">
        <x:v>schedule.lesson.read</x:v>
      </x:c>
      <x:c r="H182" s="9" t="str">
        <x:v>2026-08-06</x:v>
      </x:c>
      <x:c r="I182" s="9" t="str">
        <x:v>PASS</x:v>
      </x:c>
      <x:c r="J182" s="9" t="str">
        <x:v>Post-fix acceptance passed for Search typing: 1 exact named test(s) matched and passed on build 1.2.3+156.</x:v>
      </x:c>
      <x:c r="K182" s="9" t="str">
        <x:v>evidence/flutter-test-machine-final-156.ndjson</x:v>
      </x:c>
      <x:c r="L182" s="9" t="str"/>
      <x:c r="M182" s="9" t="str">
        <x:v>Codex</x:v>
      </x:c>
      <x:c r="N182" s="9" t="str">
        <x:v>Flutter: test/features/v6/client_schedule_calendar_test.dart :: schedule search keeps the view and marks Day Week Month</x:v>
      </x:c>
    </x:row>
    <x:row r="183">
      <x:c r="A183" s="9" t="str">
        <x:v>RUN-G-127</x:v>
      </x:c>
      <x:c r="B183" s="9" t="str">
        <x:v>SCH-007</x:v>
      </x:c>
      <x:c r="C183" s="9" t="str">
        <x:v>REGRESSION</x:v>
      </x:c>
      <x:c r="D183" s="9" t="str">
        <x:v>1.2.3+156</x:v>
      </x:c>
      <x:c r="E183" s="9" t="str">
        <x:v>schedule reader</x:v>
      </x:c>
      <x:c r="F183" s="9" t="str">
        <x:v>Flutter</x:v>
      </x:c>
      <x:c r="G183" s="9" t="str">
        <x:v>schedule.lesson.read</x:v>
      </x:c>
      <x:c r="H183" s="9" t="str">
        <x:v>2026-08-06</x:v>
      </x:c>
      <x:c r="I183" s="9" t="str">
        <x:v>PASS</x:v>
      </x:c>
      <x:c r="J183" s="9" t="str">
        <x:v>Post-fix acceptance passed for Month search highlighting: 1 exact named test(s) matched and passed on build 1.2.3+156.</x:v>
      </x:c>
      <x:c r="K183" s="9" t="str">
        <x:v>evidence/flutter-test-machine-final-156.ndjson</x:v>
      </x:c>
      <x:c r="L183" s="9" t="str"/>
      <x:c r="M183" s="9" t="str">
        <x:v>Codex</x:v>
      </x:c>
      <x:c r="N183" s="9" t="str">
        <x:v>Flutter: test/features/v6/client_schedule_calendar_test.dart :: schedule search keeps the view and marks Day Week Month</x:v>
      </x:c>
    </x:row>
    <x:row r="184">
      <x:c r="A184" s="9" t="str">
        <x:v>RUN-G-128</x:v>
      </x:c>
      <x:c r="B184" s="9" t="str">
        <x:v>SCH-008</x:v>
      </x:c>
      <x:c r="C184" s="9" t="str">
        <x:v>REGRESSION</x:v>
      </x:c>
      <x:c r="D184" s="9" t="str">
        <x:v>1.2.3+156</x:v>
      </x:c>
      <x:c r="E184" s="9" t="str">
        <x:v>schedule reader</x:v>
      </x:c>
      <x:c r="F184" s="9" t="str">
        <x:v>Flutter</x:v>
      </x:c>
      <x:c r="G184" s="9" t="str">
        <x:v>schedule.lesson.read</x:v>
      </x:c>
      <x:c r="H184" s="9" t="str">
        <x:v>2026-08-06</x:v>
      </x:c>
      <x:c r="I184" s="9" t="str">
        <x:v>PASS</x:v>
      </x:c>
      <x:c r="J184" s="9" t="str">
        <x:v>Post-fix acceptance passed for Week search highlighting: 1 exact named test(s) matched and passed on build 1.2.3+156.</x:v>
      </x:c>
      <x:c r="K184" s="9" t="str">
        <x:v>evidence/flutter-test-machine-final-156.ndjson</x:v>
      </x:c>
      <x:c r="L184" s="9" t="str"/>
      <x:c r="M184" s="9" t="str">
        <x:v>Codex</x:v>
      </x:c>
      <x:c r="N184" s="9" t="str">
        <x:v>Flutter: test/features/v6/client_schedule_calendar_test.dart :: schedule search keeps the view and marks Day Week Month</x:v>
      </x:c>
    </x:row>
    <x:row r="185">
      <x:c r="A185" s="9" t="str">
        <x:v>RUN-G-129</x:v>
      </x:c>
      <x:c r="B185" s="9" t="str">
        <x:v>SCH-009</x:v>
      </x:c>
      <x:c r="C185" s="9" t="str">
        <x:v>REGRESSION</x:v>
      </x:c>
      <x:c r="D185" s="9" t="str">
        <x:v>1.2.3+156</x:v>
      </x:c>
      <x:c r="E185" s="9" t="str">
        <x:v>schedule reader</x:v>
      </x:c>
      <x:c r="F185" s="9" t="str">
        <x:v>Flutter</x:v>
      </x:c>
      <x:c r="G185" s="9" t="str">
        <x:v>schedule.lesson.read</x:v>
      </x:c>
      <x:c r="H185" s="9" t="str">
        <x:v>2026-08-06</x:v>
      </x:c>
      <x:c r="I185" s="9" t="str">
        <x:v>PASS</x:v>
      </x:c>
      <x:c r="J185" s="9" t="str">
        <x:v>Post-fix acceptance passed for Day search highlighting: 1 exact named test(s) matched and passed on build 1.2.3+156.</x:v>
      </x:c>
      <x:c r="K185" s="9" t="str">
        <x:v>evidence/flutter-test-machine-final-156.ndjson</x:v>
      </x:c>
      <x:c r="L185" s="9" t="str"/>
      <x:c r="M185" s="9" t="str">
        <x:v>Codex</x:v>
      </x:c>
      <x:c r="N185" s="9" t="str">
        <x:v>Flutter: test/features/v6/client_schedule_calendar_test.dart :: schedule search keeps the view and marks Day Week Month</x:v>
      </x:c>
    </x:row>
    <x:row r="186">
      <x:c r="A186" s="9" t="str">
        <x:v>RUN-G-130</x:v>
      </x:c>
      <x:c r="B186" s="9" t="str">
        <x:v>SCH-010</x:v>
      </x:c>
      <x:c r="C186" s="9" t="str">
        <x:v>REGRESSION</x:v>
      </x:c>
      <x:c r="D186" s="9" t="str">
        <x:v>1.2.3+156</x:v>
      </x:c>
      <x:c r="E186" s="9" t="str">
        <x:v>schedule reader</x:v>
      </x:c>
      <x:c r="F186" s="9" t="str">
        <x:v>Flutter</x:v>
      </x:c>
      <x:c r="G186" s="9" t="str">
        <x:v>schedule.lesson.read</x:v>
      </x:c>
      <x:c r="H186" s="9" t="str">
        <x:v>2026-08-06</x:v>
      </x:c>
      <x:c r="I186" s="9" t="str">
        <x:v>PASS</x:v>
      </x:c>
      <x:c r="J186" s="9" t="str">
        <x:v>Post-fix acceptance passed for No-match search: 1 exact named test(s) matched and passed on build 1.2.3+156.</x:v>
      </x:c>
      <x:c r="K186" s="9" t="str">
        <x:v>evidence/flutter-test-machine-final-156.ndjson</x:v>
      </x:c>
      <x:c r="L186" s="9" t="str"/>
      <x:c r="M186" s="9" t="str">
        <x:v>Codex</x:v>
      </x:c>
      <x:c r="N186" s="9" t="str">
        <x:v>Flutter: test/features/v6/client_schedule_calendar_test.dart :: schedule search keeps the view and marks Day Week Month</x:v>
      </x:c>
    </x:row>
    <x:row r="187">
      <x:c r="A187" s="9" t="str">
        <x:v>RUN-G-131</x:v>
      </x:c>
      <x:c r="B187" s="9" t="str">
        <x:v>SCH-011</x:v>
      </x:c>
      <x:c r="C187" s="9" t="str">
        <x:v>REGRESSION</x:v>
      </x:c>
      <x:c r="D187" s="9" t="str">
        <x:v>1.2.3+156</x:v>
      </x:c>
      <x:c r="E187" s="9" t="str">
        <x:v>разрешённый staff</x:v>
      </x:c>
      <x:c r="F187" s="9" t="str">
        <x:v>Flutter</x:v>
      </x:c>
      <x:c r="G187" s="9" t="str">
        <x:v>schedule.lesson.write</x:v>
      </x:c>
      <x:c r="H187" s="9" t="str">
        <x:v>2026-08-06</x:v>
      </x:c>
      <x:c r="I187" s="9" t="str">
        <x:v>PASS</x:v>
      </x:c>
      <x:c r="J187" s="9" t="str">
        <x:v>Post-fix acceptance passed for Create lesson: 1 exact named test(s) matched and passed on build 1.2.3+156.</x:v>
      </x:c>
      <x:c r="K187" s="9" t="str">
        <x:v>evidence/flutter-test-machine-final-156.ndjson</x:v>
      </x:c>
      <x:c r="L187" s="9" t="str"/>
      <x:c r="M187" s="9" t="str">
        <x:v>Codex</x:v>
      </x:c>
      <x:c r="N187" s="9" t="str">
        <x:v>Flutter: test/features/admin/schedule_redesign_test.dart :: KVA-195 schedule redesign tapping an empty hour opens the (single) create dialog</x:v>
      </x:c>
    </x:row>
    <x:row r="188">
      <x:c r="A188" s="9" t="str">
        <x:v>RUN-G-132</x:v>
      </x:c>
      <x:c r="B188" s="9" t="str">
        <x:v>SCH-012</x:v>
      </x:c>
      <x:c r="C188" s="9" t="str">
        <x:v>REGRESSION</x:v>
      </x:c>
      <x:c r="D188" s="9" t="str">
        <x:v>1.2.3+156</x:v>
      </x:c>
      <x:c r="E188" s="9" t="str">
        <x:v>разрешённый staff</x:v>
      </x:c>
      <x:c r="F188" s="9" t="str">
        <x:v>Server</x:v>
      </x:c>
      <x:c r="G188" s="9" t="str">
        <x:v>schedule.lesson.write</x:v>
      </x:c>
      <x:c r="H188" s="9" t="str">
        <x:v>2026-08-06</x:v>
      </x:c>
      <x:c r="I188" s="9" t="str">
        <x:v>PASS</x:v>
      </x:c>
      <x:c r="J188" s="9" t="str">
        <x:v>Post-fix acceptance passed for Constraint preview: 1 exact named test(s) matched and passed on build 1.2.3+156.</x:v>
      </x:c>
      <x:c r="K188" s="9" t="str">
        <x:v>evidence/server-test-json-final-156.json</x:v>
      </x:c>
      <x:c r="L188" s="9" t="str"/>
      <x:c r="M188" s="9" t="str">
        <x:v>Codex</x:v>
      </x:c>
      <x:c r="N188" s="9" t="str">
        <x:v>Server: server/src/crm/schedule/constraint-engine-postgres.integration.spec.ts :: Schedule constraint engine (PostgreSQL) allows adjacency and blocks all overlaps with refs, excludeLessonId and cross-branch mismatch</x:v>
      </x:c>
    </x:row>
    <x:row r="189">
      <x:c r="A189" s="9" t="str">
        <x:v>RUN-G-133</x:v>
      </x:c>
      <x:c r="B189" s="9" t="str">
        <x:v>SCH-013</x:v>
      </x:c>
      <x:c r="C189" s="9" t="str">
        <x:v>REGRESSION</x:v>
      </x:c>
      <x:c r="D189" s="9" t="str">
        <x:v>1.2.3+156</x:v>
      </x:c>
      <x:c r="E189" s="9" t="str">
        <x:v>разрешённый staff</x:v>
      </x:c>
      <x:c r="F189" s="9" t="str">
        <x:v>Server</x:v>
      </x:c>
      <x:c r="G189" s="9" t="str">
        <x:v>schedule.lesson.write</x:v>
      </x:c>
      <x:c r="H189" s="9" t="str">
        <x:v>2026-08-06</x:v>
      </x:c>
      <x:c r="I189" s="9" t="str">
        <x:v>PASS</x:v>
      </x:c>
      <x:c r="J189" s="9" t="str">
        <x:v>Post-fix acceptance passed for Conflict rejection: 1 exact named test(s) matched and passed on build 1.2.3+156.</x:v>
      </x:c>
      <x:c r="K189" s="9" t="str">
        <x:v>evidence/server-test-json-final-156.json</x:v>
      </x:c>
      <x:c r="L189" s="9" t="str"/>
      <x:c r="M189" s="9" t="str">
        <x:v>Codex</x:v>
      </x:c>
      <x:c r="N189" s="9" t="str">
        <x:v>Server: server/src/crm/schedule/lesson-series-postgres.integration.spec.ts :: Atomic LessonSeries (PostgreSQL) rolls back an Nth conflict and creates a valid DST-aware series fully</x:v>
      </x:c>
    </x:row>
    <x:row r="190">
      <x:c r="A190" s="9" t="str">
        <x:v>RUN-G-134</x:v>
      </x:c>
      <x:c r="B190" s="9" t="str">
        <x:v>SCH-014</x:v>
      </x:c>
      <x:c r="C190" s="9" t="str">
        <x:v>REGRESSION</x:v>
      </x:c>
      <x:c r="D190" s="9" t="str">
        <x:v>1.2.3+156</x:v>
      </x:c>
      <x:c r="E190" s="9" t="str">
        <x:v>разрешённый staff</x:v>
      </x:c>
      <x:c r="F190" s="9" t="str">
        <x:v>Server</x:v>
      </x:c>
      <x:c r="G190" s="9" t="str">
        <x:v>schedule.lesson.write</x:v>
      </x:c>
      <x:c r="H190" s="9" t="str">
        <x:v>2026-08-06</x:v>
      </x:c>
      <x:c r="I190" s="9" t="str">
        <x:v>PASS</x:v>
      </x:c>
      <x:c r="J190" s="9" t="str">
        <x:v>Post-fix acceptance passed for Edit lesson: 1 exact named test(s) matched and passed on build 1.2.3+156.</x:v>
      </x:c>
      <x:c r="K190" s="9" t="str">
        <x:v>evidence/server-test-json-final-156.json</x:v>
      </x:c>
      <x:c r="L190" s="9" t="str"/>
      <x:c r="M190" s="9" t="str">
        <x:v>Codex</x:v>
      </x:c>
      <x:c r="N190" s="9" t="str">
        <x:v>Server: server/src/crm/schedule/lesson-write-parity.integration.spec.ts :: Unified lesson create/edit/drag writes (PostgreSQL) returns identical violations for create/edit/drag and replays a create once</x:v>
      </x:c>
    </x:row>
    <x:row r="191">
      <x:c r="A191" s="9" t="str">
        <x:v>RUN-G-135</x:v>
      </x:c>
      <x:c r="B191" s="9" t="str">
        <x:v>SCH-015</x:v>
      </x:c>
      <x:c r="C191" s="9" t="str">
        <x:v>REGRESSION</x:v>
      </x:c>
      <x:c r="D191" s="9" t="str">
        <x:v>1.2.3+156</x:v>
      </x:c>
      <x:c r="E191" s="9" t="str">
        <x:v>разрешённый staff</x:v>
      </x:c>
      <x:c r="F191" s="9" t="str">
        <x:v>Server</x:v>
      </x:c>
      <x:c r="G191" s="9" t="str">
        <x:v>schedule.lesson.write</x:v>
      </x:c>
      <x:c r="H191" s="9" t="str">
        <x:v>2026-08-06</x:v>
      </x:c>
      <x:c r="I191" s="9" t="str">
        <x:v>PASS</x:v>
      </x:c>
      <x:c r="J191" s="9" t="str">
        <x:v>Post-fix acceptance passed for Reschedule preview: 1 exact named test(s) matched and passed on build 1.2.3+156.</x:v>
      </x:c>
      <x:c r="K191" s="9" t="str">
        <x:v>evidence/server-test-json-final-156.json</x:v>
      </x:c>
      <x:c r="L191" s="9" t="str"/>
      <x:c r="M191" s="9" t="str">
        <x:v>Codex</x:v>
      </x:c>
      <x:c r="N191" s="9" t="str">
        <x:v>Server: server/src/crm/schedule/reschedule-postgres.integration.spec.ts :: Atomic lesson reschedule/cancel (PostgreSQL) keeps source unchanged on conflict/failure and commits one linked transition</x:v>
      </x:c>
    </x:row>
    <x:row r="192">
      <x:c r="A192" s="9" t="str">
        <x:v>RUN-G-136</x:v>
      </x:c>
      <x:c r="B192" s="9" t="str">
        <x:v>SCH-016</x:v>
      </x:c>
      <x:c r="C192" s="9" t="str">
        <x:v>REGRESSION</x:v>
      </x:c>
      <x:c r="D192" s="9" t="str">
        <x:v>1.2.3+156</x:v>
      </x:c>
      <x:c r="E192" s="9" t="str">
        <x:v>разрешённый staff</x:v>
      </x:c>
      <x:c r="F192" s="9" t="str">
        <x:v>Server</x:v>
      </x:c>
      <x:c r="G192" s="9" t="str">
        <x:v>schedule.lesson.write</x:v>
      </x:c>
      <x:c r="H192" s="9" t="str">
        <x:v>2026-08-06</x:v>
      </x:c>
      <x:c r="I192" s="9" t="str">
        <x:v>PASS</x:v>
      </x:c>
      <x:c r="J192" s="9" t="str">
        <x:v>Post-fix acceptance passed for Reschedule lesson: 1 exact named test(s) matched and passed on build 1.2.3+156.</x:v>
      </x:c>
      <x:c r="K192" s="9" t="str">
        <x:v>evidence/server-test-json-final-156.json</x:v>
      </x:c>
      <x:c r="L192" s="9" t="str"/>
      <x:c r="M192" s="9" t="str">
        <x:v>Codex</x:v>
      </x:c>
      <x:c r="N192" s="9" t="str">
        <x:v>Server: server/src/crm/schedule/reschedule-postgres.integration.spec.ts :: Atomic lesson reschedule/cancel (PostgreSQL) keeps source unchanged on conflict/failure and commits one linked transition</x:v>
      </x:c>
    </x:row>
    <x:row r="193">
      <x:c r="A193" s="9" t="str">
        <x:v>RUN-G-137</x:v>
      </x:c>
      <x:c r="B193" s="9" t="str">
        <x:v>SCH-017</x:v>
      </x:c>
      <x:c r="C193" s="9" t="str">
        <x:v>REGRESSION</x:v>
      </x:c>
      <x:c r="D193" s="9" t="str">
        <x:v>1.2.3+156</x:v>
      </x:c>
      <x:c r="E193" s="9" t="str">
        <x:v>разрешённый staff</x:v>
      </x:c>
      <x:c r="F193" s="9" t="str">
        <x:v>Server</x:v>
      </x:c>
      <x:c r="G193" s="9" t="str">
        <x:v>schedule.lesson.write</x:v>
      </x:c>
      <x:c r="H193" s="9" t="str">
        <x:v>2026-08-06</x:v>
      </x:c>
      <x:c r="I193" s="9" t="str">
        <x:v>PASS</x:v>
      </x:c>
      <x:c r="J193" s="9" t="str">
        <x:v>Post-fix acceptance passed for Cancel preview: 1 exact named test(s) matched and passed on build 1.2.3+156.</x:v>
      </x:c>
      <x:c r="K193" s="9" t="str">
        <x:v>evidence/server-test-json-final-156.json</x:v>
      </x:c>
      <x:c r="L193" s="9" t="str"/>
      <x:c r="M193" s="9" t="str">
        <x:v>Codex</x:v>
      </x:c>
      <x:c r="N193" s="9" t="str">
        <x:v>Server: server/src/crm/schedule/reschedule-postgres.integration.spec.ts :: Atomic lesson reschedule/cancel (PostgreSQL) keeps source unchanged on conflict/failure and commits one linked transition</x:v>
      </x:c>
    </x:row>
    <x:row r="194">
      <x:c r="A194" s="9" t="str">
        <x:v>RUN-G-138</x:v>
      </x:c>
      <x:c r="B194" s="9" t="str">
        <x:v>SCH-018</x:v>
      </x:c>
      <x:c r="C194" s="9" t="str">
        <x:v>REGRESSION</x:v>
      </x:c>
      <x:c r="D194" s="9" t="str">
        <x:v>1.2.3+156</x:v>
      </x:c>
      <x:c r="E194" s="9" t="str">
        <x:v>разрешённый staff</x:v>
      </x:c>
      <x:c r="F194" s="9" t="str">
        <x:v>Server</x:v>
      </x:c>
      <x:c r="G194" s="9" t="str">
        <x:v>schedule.lesson.write</x:v>
      </x:c>
      <x:c r="H194" s="9" t="str">
        <x:v>2026-08-06</x:v>
      </x:c>
      <x:c r="I194" s="9" t="str">
        <x:v>PASS</x:v>
      </x:c>
      <x:c r="J194" s="9" t="str">
        <x:v>Post-fix acceptance passed for Cancel lesson: 1 exact named test(s) matched and passed on build 1.2.3+156.</x:v>
      </x:c>
      <x:c r="K194" s="9" t="str">
        <x:v>evidence/server-test-json-final-156.json</x:v>
      </x:c>
      <x:c r="L194" s="9" t="str"/>
      <x:c r="M194" s="9" t="str">
        <x:v>Codex</x:v>
      </x:c>
      <x:c r="N194" s="9" t="str">
        <x:v>Server: server/src/crm/schedule/reschedule-postgres.integration.spec.ts :: Atomic lesson reschedule/cancel (PostgreSQL) keeps source unchanged on conflict/failure and commits one linked transition</x:v>
      </x:c>
    </x:row>
    <x:row r="195">
      <x:c r="A195" s="9" t="str">
        <x:v>RUN-G-139</x:v>
      </x:c>
      <x:c r="B195" s="9" t="str">
        <x:v>SCH-019</x:v>
      </x:c>
      <x:c r="C195" s="9" t="str">
        <x:v>REGRESSION</x:v>
      </x:c>
      <x:c r="D195" s="9" t="str">
        <x:v>1.2.3+156</x:v>
      </x:c>
      <x:c r="E195" s="9" t="str">
        <x:v>разрешённый actor</x:v>
      </x:c>
      <x:c r="F195" s="9" t="str">
        <x:v>Server</x:v>
      </x:c>
      <x:c r="G195" s="9" t="str">
        <x:v>schedule.lesson.write</x:v>
      </x:c>
      <x:c r="H195" s="9" t="str">
        <x:v>2026-08-06</x:v>
      </x:c>
      <x:c r="I195" s="9" t="str">
        <x:v>PASS</x:v>
      </x:c>
      <x:c r="J195" s="9" t="str">
        <x:v>Post-fix acceptance passed for Delete lesson: 1 exact named test(s) matched and passed on build 1.2.3+156.</x:v>
      </x:c>
      <x:c r="K195" s="9" t="str">
        <x:v>evidence/server-test-json-final-156.json</x:v>
      </x:c>
      <x:c r="L195" s="9" t="str"/>
      <x:c r="M195" s="9" t="str">
        <x:v>Codex</x:v>
      </x:c>
      <x:c r="N195" s="9" t="str">
        <x:v>Server: server/src/crm/schedule.service.spec.ts :: ScheduleService soft-deletes a lesson and clears its reminder markers</x:v>
      </x:c>
    </x:row>
    <x:row r="196">
      <x:c r="A196" s="9" t="str">
        <x:v>RUN-G-140</x:v>
      </x:c>
      <x:c r="B196" s="9" t="str">
        <x:v>SCH-020</x:v>
      </x:c>
      <x:c r="C196" s="9" t="str">
        <x:v>REGRESSION</x:v>
      </x:c>
      <x:c r="D196" s="9" t="str">
        <x:v>1.2.3+156</x:v>
      </x:c>
      <x:c r="E196" s="9" t="str">
        <x:v>разрешённый staff/teacher</x:v>
      </x:c>
      <x:c r="F196" s="9" t="str">
        <x:v>Server</x:v>
      </x:c>
      <x:c r="G196" s="9" t="str">
        <x:v>lesson read / server lifecycle</x:v>
      </x:c>
      <x:c r="H196" s="9" t="str">
        <x:v>2026-08-06</x:v>
      </x:c>
      <x:c r="I196" s="9" t="str">
        <x:v>PASS</x:v>
      </x:c>
      <x:c r="J196" s="9" t="str">
        <x:v>Post-fix acceptance passed for Attendance (derived read-only): 1 exact named test(s) matched and passed on build 1.2.3+156.</x:v>
      </x:c>
      <x:c r="K196" s="9" t="str">
        <x:v>evidence/server-test-json-final-156.json</x:v>
      </x:c>
      <x:c r="L196" s="9" t="str"/>
      <x:c r="M196" s="9" t="str">
        <x:v>Codex</x:v>
      </x:c>
      <x:c r="N196" s="9" t="str">
        <x:v>Server: server/src/crm/schedule/no-attendance-mutations.contract.spec.ts :: T4.2.5 no-attendance mutation contract has no attendance API/service/DTO and rejects manual completion input</x:v>
      </x:c>
    </x:row>
    <x:row r="197">
      <x:c r="A197" s="9" t="str">
        <x:v>RUN-G-141</x:v>
      </x:c>
      <x:c r="B197" s="9" t="str">
        <x:v>SCH-021</x:v>
      </x:c>
      <x:c r="C197" s="9" t="str">
        <x:v>REGRESSION</x:v>
      </x:c>
      <x:c r="D197" s="9" t="str">
        <x:v>1.2.3+156</x:v>
      </x:c>
      <x:c r="E197" s="9" t="str">
        <x:v>system</x:v>
      </x:c>
      <x:c r="F197" s="9" t="str">
        <x:v>Server</x:v>
      </x:c>
      <x:c r="G197" s="9" t="str">
        <x:v>server worker</x:v>
      </x:c>
      <x:c r="H197" s="9" t="str">
        <x:v>2026-08-06</x:v>
      </x:c>
      <x:c r="I197" s="9" t="str">
        <x:v>PASS</x:v>
      </x:c>
      <x:c r="J197" s="9" t="str">
        <x:v>Post-fix acceptance passed for Auto completion: 1 exact named test(s) matched and passed on build 1.2.3+156.</x:v>
      </x:c>
      <x:c r="K197" s="9" t="str">
        <x:v>evidence/server-test-json-final-156.json</x:v>
      </x:c>
      <x:c r="L197" s="9" t="str"/>
      <x:c r="M197" s="9" t="str">
        <x:v>Codex</x:v>
      </x:c>
      <x:c r="N197" s="9" t="str">
        <x:v>Server: server/src/crm/schedule/completion-worker-postgres.integration.spec.ts :: Durable Lesson completion worker (PostgreSQL) lets two workers create one terminal state, fact pair, audit and outbox within 60 seconds</x:v>
      </x:c>
    </x:row>
    <x:row r="198">
      <x:c r="A198" s="9" t="str">
        <x:v>RUN-G-142</x:v>
      </x:c>
      <x:c r="B198" s="9" t="str">
        <x:v>SCH-022</x:v>
      </x:c>
      <x:c r="C198" s="9" t="str">
        <x:v>REGRESSION</x:v>
      </x:c>
      <x:c r="D198" s="9" t="str">
        <x:v>1.2.3+156</x:v>
      </x:c>
      <x:c r="E198" s="9" t="str">
        <x:v>разрешённый staff</x:v>
      </x:c>
      <x:c r="F198" s="9" t="str">
        <x:v>Server</x:v>
      </x:c>
      <x:c r="G198" s="9" t="str">
        <x:v>teacher rate capability</x:v>
      </x:c>
      <x:c r="H198" s="9" t="str">
        <x:v>2026-08-06</x:v>
      </x:c>
      <x:c r="I198" s="9" t="str">
        <x:v>PASS</x:v>
      </x:c>
      <x:c r="J198" s="9" t="str">
        <x:v>Post-fix acceptance passed for Teacher rate: 1 exact named test(s) matched and passed on build 1.2.3+156.</x:v>
      </x:c>
      <x:c r="K198" s="9" t="str">
        <x:v>evidence/server-test-json-final-156.json</x:v>
      </x:c>
      <x:c r="L198" s="9" t="str"/>
      <x:c r="M198" s="9" t="str">
        <x:v>Codex</x:v>
      </x:c>
      <x:c r="N198" s="9" t="str">
        <x:v>Server: server/src/crm/schedule.service.spec.ts :: ScheduleService bulk teacher rate is manager-only — it writes payroll inputs across the schedule</x:v>
      </x:c>
    </x:row>
    <x:row r="199">
      <x:c r="A199" s="9" t="str">
        <x:v>RUN-G-143</x:v>
      </x:c>
      <x:c r="B199" s="9" t="str">
        <x:v>SCH-023</x:v>
      </x:c>
      <x:c r="C199" s="9" t="str">
        <x:v>REGRESSION</x:v>
      </x:c>
      <x:c r="D199" s="9" t="str">
        <x:v>1.2.3+156</x:v>
      </x:c>
      <x:c r="E199" s="9" t="str">
        <x:v>разрешённый staff</x:v>
      </x:c>
      <x:c r="F199" s="9" t="str">
        <x:v>Server</x:v>
      </x:c>
      <x:c r="G199" s="9" t="str">
        <x:v>schedule.lesson.write</x:v>
      </x:c>
      <x:c r="H199" s="9" t="str">
        <x:v>2026-08-06</x:v>
      </x:c>
      <x:c r="I199" s="9" t="str">
        <x:v>PASS</x:v>
      </x:c>
      <x:c r="J199" s="9" t="str">
        <x:v>Post-fix acceptance passed for Series create: 1 exact named test(s) matched and passed on build 1.2.3+156.</x:v>
      </x:c>
      <x:c r="K199" s="9" t="str">
        <x:v>evidence/server-test-json-final-156.json</x:v>
      </x:c>
      <x:c r="L199" s="9" t="str"/>
      <x:c r="M199" s="9" t="str">
        <x:v>Codex</x:v>
      </x:c>
      <x:c r="N199" s="9" t="str">
        <x:v>Server: server/src/crm/schedule/lesson-series-postgres.integration.spec.ts :: Atomic LessonSeries (PostgreSQL) rolls back an Nth conflict and creates a valid DST-aware series fully</x:v>
      </x:c>
    </x:row>
    <x:row r="200">
      <x:c r="A200" s="9" t="str">
        <x:v>RUN-G-144</x:v>
      </x:c>
      <x:c r="B200" s="9" t="str">
        <x:v>SCH-024</x:v>
      </x:c>
      <x:c r="C200" s="9" t="str">
        <x:v>REGRESSION</x:v>
      </x:c>
      <x:c r="D200" s="9" t="str">
        <x:v>1.2.3+156</x:v>
      </x:c>
      <x:c r="E200" s="9" t="str">
        <x:v>разрешённый staff</x:v>
      </x:c>
      <x:c r="F200" s="9" t="str">
        <x:v>Server</x:v>
      </x:c>
      <x:c r="G200" s="9" t="str">
        <x:v>schedule.lesson.write</x:v>
      </x:c>
      <x:c r="H200" s="9" t="str">
        <x:v>2026-08-06</x:v>
      </x:c>
      <x:c r="I200" s="9" t="str">
        <x:v>PASS</x:v>
      </x:c>
      <x:c r="J200" s="9" t="str">
        <x:v>Post-fix acceptance passed for Series update: 1 exact named test(s) matched and passed on build 1.2.3+156.</x:v>
      </x:c>
      <x:c r="K200" s="9" t="str">
        <x:v>evidence/server-test-json-final-156.json</x:v>
      </x:c>
      <x:c r="L200" s="9" t="str"/>
      <x:c r="M200" s="9" t="str">
        <x:v>Codex</x:v>
      </x:c>
      <x:c r="N200" s="9" t="str">
        <x:v>Server: server/src/crm/schedule.service.spec.ts :: ScheduleService applies a series edit, preserves exceptions and explicitly clears a finite end</x:v>
      </x:c>
    </x:row>
    <x:row r="201">
      <x:c r="A201" s="9" t="str">
        <x:v>RUN-G-145</x:v>
      </x:c>
      <x:c r="B201" s="9" t="str">
        <x:v>SCH-025</x:v>
      </x:c>
      <x:c r="C201" s="9" t="str">
        <x:v>REGRESSION</x:v>
      </x:c>
      <x:c r="D201" s="9" t="str">
        <x:v>1.2.3+156</x:v>
      </x:c>
      <x:c r="E201" s="9" t="str">
        <x:v>разрешённый staff</x:v>
      </x:c>
      <x:c r="F201" s="9" t="str">
        <x:v>Server</x:v>
      </x:c>
      <x:c r="G201" s="9" t="str">
        <x:v>schedule.lesson.write</x:v>
      </x:c>
      <x:c r="H201" s="9" t="str">
        <x:v>2026-08-06</x:v>
      </x:c>
      <x:c r="I201" s="9" t="str">
        <x:v>PASS</x:v>
      </x:c>
      <x:c r="J201" s="9" t="str">
        <x:v>Post-fix acceptance passed for Series delete: 1 exact named test(s) matched and passed on build 1.2.3+156.</x:v>
      </x:c>
      <x:c r="K201" s="9" t="str">
        <x:v>evidence/server-test-json-final-156.json</x:v>
      </x:c>
      <x:c r="L201" s="9" t="str"/>
      <x:c r="M201" s="9" t="str">
        <x:v>Codex</x:v>
      </x:c>
      <x:c r="N201" s="9" t="str">
        <x:v>Server: server/src/crm/schedule.service.spec.ts :: ScheduleService stops series occurrences by their actual Moscow date, including moved lessons</x:v>
      </x:c>
    </x:row>
    <x:row r="202">
      <x:c r="A202" s="9" t="str">
        <x:v>RUN-G-146</x:v>
      </x:c>
      <x:c r="B202" s="9" t="str">
        <x:v>SCH-026</x:v>
      </x:c>
      <x:c r="C202" s="9" t="str">
        <x:v>REGRESSION</x:v>
      </x:c>
      <x:c r="D202" s="9" t="str">
        <x:v>1.2.3+156</x:v>
      </x:c>
      <x:c r="E202" s="9" t="str">
        <x:v>schedule reader</x:v>
      </x:c>
      <x:c r="F202" s="9" t="str">
        <x:v>Server</x:v>
      </x:c>
      <x:c r="G202" s="9" t="str">
        <x:v>schedule.lesson.read</x:v>
      </x:c>
      <x:c r="H202" s="9" t="str">
        <x:v>2026-08-06</x:v>
      </x:c>
      <x:c r="I202" s="9" t="str">
        <x:v>PASS</x:v>
      </x:c>
      <x:c r="J202" s="9" t="str">
        <x:v>Post-fix acceptance passed for Schedule matrix: 1 exact named test(s) matched and passed on build 1.2.3+156.</x:v>
      </x:c>
      <x:c r="K202" s="9" t="str">
        <x:v>evidence/server-test-json-final-156.json</x:v>
      </x:c>
      <x:c r="L202" s="9" t="str"/>
      <x:c r="M202" s="9" t="str">
        <x:v>Codex</x:v>
      </x:c>
      <x:c r="N202" s="9" t="str">
        <x:v>Server: server/src/crm/schedule.service.spec.ts :: ScheduleService returns schedule matrix grouped by room with conflicts</x:v>
      </x:c>
    </x:row>
    <x:row r="203">
      <x:c r="A203" s="9" t="str">
        <x:v>RUN-G-147</x:v>
      </x:c>
      <x:c r="B203" s="9" t="str">
        <x:v>SCH-027</x:v>
      </x:c>
      <x:c r="C203" s="9" t="str">
        <x:v>REGRESSION</x:v>
      </x:c>
      <x:c r="D203" s="9" t="str">
        <x:v>1.2.3+156</x:v>
      </x:c>
      <x:c r="E203" s="9" t="str">
        <x:v>schedule reader</x:v>
      </x:c>
      <x:c r="F203" s="9" t="str">
        <x:v>Flutter</x:v>
      </x:c>
      <x:c r="G203" s="9" t="str">
        <x:v>schedule.lesson.read</x:v>
      </x:c>
      <x:c r="H203" s="9" t="str">
        <x:v>2026-08-06</x:v>
      </x:c>
      <x:c r="I203" s="9" t="str">
        <x:v>PASS</x:v>
      </x:c>
      <x:c r="J203" s="9" t="str">
        <x:v>Post-fix acceptance passed for Month summary: 1 exact named test(s) matched and passed on build 1.2.3+156.</x:v>
      </x:c>
      <x:c r="K203" s="9" t="str">
        <x:v>evidence/flutter-test-machine-final-156.ndjson</x:v>
      </x:c>
      <x:c r="L203" s="9" t="str"/>
      <x:c r="M203" s="9" t="str">
        <x:v>Codex</x:v>
      </x:c>
      <x:c r="N203" s="9" t="str">
        <x:v>Flutter: test/core/services/magic_crm_service_test.dart :: MagicCrmService maps schedule month summary counts and room ids</x:v>
      </x:c>
    </x:row>
    <x:row r="204">
      <x:c r="A204" s="9" t="str">
        <x:v>RUN-G-148</x:v>
      </x:c>
      <x:c r="B204" s="9" t="str">
        <x:v>SCH-028</x:v>
      </x:c>
      <x:c r="C204" s="9" t="str">
        <x:v>REGRESSION</x:v>
      </x:c>
      <x:c r="D204" s="9" t="str">
        <x:v>1.2.3+156</x:v>
      </x:c>
      <x:c r="E204" s="9" t="str">
        <x:v>разрешённый staff</x:v>
      </x:c>
      <x:c r="F204" s="9" t="str">
        <x:v>Server</x:v>
      </x:c>
      <x:c r="G204" s="9" t="str">
        <x:v>schedule.lesson.read</x:v>
      </x:c>
      <x:c r="H204" s="9" t="str">
        <x:v>2026-08-06</x:v>
      </x:c>
      <x:c r="I204" s="9" t="str">
        <x:v>PASS</x:v>
      </x:c>
      <x:c r="J204" s="9" t="str">
        <x:v>Post-fix acceptance passed for Conflict list: 1 exact named test(s) matched and passed on build 1.2.3+156.</x:v>
      </x:c>
      <x:c r="K204" s="9" t="str">
        <x:v>evidence/server-test-json-final-156.json</x:v>
      </x:c>
      <x:c r="L204" s="9" t="str"/>
      <x:c r="M204" s="9" t="str">
        <x:v>Codex</x:v>
      </x:c>
      <x:c r="N204" s="9" t="str">
        <x:v>Server: server/src/crm/schedule.service.spec.ts :: ScheduleService schedule conflicts (контракты 1-2, правки №2) GET conflicts is admin+ only and returns the pinned shape</x:v>
      </x:c>
    </x:row>
    <x:row r="205">
      <x:c r="A205" s="9" t="str">
        <x:v>RUN-G-149</x:v>
      </x:c>
      <x:c r="B205" s="9" t="str">
        <x:v>SCH-029</x:v>
      </x:c>
      <x:c r="C205" s="9" t="str">
        <x:v>REGRESSION</x:v>
      </x:c>
      <x:c r="D205" s="9" t="str">
        <x:v>1.2.3+156</x:v>
      </x:c>
      <x:c r="E205" s="9" t="str">
        <x:v>staff пользователь</x:v>
      </x:c>
      <x:c r="F205" s="9" t="str">
        <x:v>Flutter</x:v>
      </x:c>
      <x:c r="G205" s="9" t="str">
        <x:v>client read + schedule read</x:v>
      </x:c>
      <x:c r="H205" s="9" t="str">
        <x:v>2026-08-06</x:v>
      </x:c>
      <x:c r="I205" s="9" t="str">
        <x:v>PASS</x:v>
      </x:c>
      <x:c r="J205" s="9" t="str">
        <x:v>Post-fix acceptance passed for Client bounded calendar: 1 exact named test(s) matched and passed on build 1.2.3+156.</x:v>
      </x:c>
      <x:c r="K205" s="9" t="str">
        <x:v>evidence/flutter-test-machine-final-156.ndjson</x:v>
      </x:c>
      <x:c r="L205" s="9" t="str"/>
      <x:c r="M205" s="9" t="str">
        <x:v>Codex</x:v>
      </x:c>
      <x:c r="N205" s="9" t="str">
        <x:v>Flutter: test/features/v4/client_schedule_navigation_test.dart :: schedule opens the month and hides other clients</x:v>
      </x:c>
    </x:row>
    <x:row r="206">
      <x:c r="A206" s="9" t="str">
        <x:v>RUN-G-150</x:v>
      </x:c>
      <x:c r="B206" s="9" t="str">
        <x:v>SCH-030</x:v>
      </x:c>
      <x:c r="C206" s="9" t="str">
        <x:v>REGRESSION</x:v>
      </x:c>
      <x:c r="D206" s="9" t="str">
        <x:v>1.2.3+156</x:v>
      </x:c>
      <x:c r="E206" s="9" t="str">
        <x:v>teacher</x:v>
      </x:c>
      <x:c r="F206" s="9" t="str">
        <x:v>Flutter</x:v>
      </x:c>
      <x:c r="G206" s="9" t="str">
        <x:v>teacher assigned-only</x:v>
      </x:c>
      <x:c r="H206" s="9" t="str">
        <x:v>2026-08-06</x:v>
      </x:c>
      <x:c r="I206" s="9" t="str">
        <x:v>PASS</x:v>
      </x:c>
      <x:c r="J206" s="9" t="str">
        <x:v>Post-fix acceptance passed for Teacher read-only schedule: 1 exact named test(s) matched and passed on build 1.2.3+156.</x:v>
      </x:c>
      <x:c r="K206" s="9" t="str">
        <x:v>evidence/flutter-test-machine-final-156.ndjson</x:v>
      </x:c>
      <x:c r="L206" s="9" t="str"/>
      <x:c r="M206" s="9" t="str">
        <x:v>Codex</x:v>
      </x:c>
      <x:c r="N206" s="9" t="str">
        <x:v>Flutter: test/features/v4/teacher_schedule_read_only_test.dart :: teacher uses canonical assigned-only Day/Week read-only surface</x:v>
      </x:c>
    </x:row>
    <x:row r="207">
      <x:c r="A207" s="9" t="str">
        <x:v>RUN-G-151</x:v>
      </x:c>
      <x:c r="B207" s="9" t="str">
        <x:v>SCH-031</x:v>
      </x:c>
      <x:c r="C207" s="9" t="str">
        <x:v>REGRESSION</x:v>
      </x:c>
      <x:c r="D207" s="9" t="str">
        <x:v>1.2.3+156</x:v>
      </x:c>
      <x:c r="E207" s="9" t="str">
        <x:v>разрешённый config actor</x:v>
      </x:c>
      <x:c r="F207" s="9" t="str">
        <x:v>Server</x:v>
      </x:c>
      <x:c r="G207" s="9" t="str">
        <x:v>schedule configuration</x:v>
      </x:c>
      <x:c r="H207" s="9" t="str">
        <x:v>2026-08-06</x:v>
      </x:c>
      <x:c r="I207" s="9" t="str">
        <x:v>PASS</x:v>
      </x:c>
      <x:c r="J207" s="9" t="str">
        <x:v>Post-fix acceptance passed for Branch hours: 1 exact named test(s) matched and passed on build 1.2.3+156.</x:v>
      </x:c>
      <x:c r="K207" s="9" t="str">
        <x:v>evidence/server-test-json-final-156.json</x:v>
      </x:c>
      <x:c r="L207" s="9" t="str"/>
      <x:c r="M207" s="9" t="str">
        <x:v>Codex</x:v>
      </x:c>
      <x:c r="N207" s="9" t="str">
        <x:v>Server: server/src/crm/schedule/availability-postgres.integration.spec.ts :: Availability reference data (PostgreSQL) resolves recurring hours, exceptions, multi-branch and DST to UTC</x:v>
      </x:c>
    </x:row>
    <x:row r="208">
      <x:c r="A208" s="9" t="str">
        <x:v>RUN-G-152</x:v>
      </x:c>
      <x:c r="B208" s="9" t="str">
        <x:v>SCH-032</x:v>
      </x:c>
      <x:c r="C208" s="9" t="str">
        <x:v>REGRESSION</x:v>
      </x:c>
      <x:c r="D208" s="9" t="str">
        <x:v>1.2.3+156</x:v>
      </x:c>
      <x:c r="E208" s="9" t="str">
        <x:v>разрешённый config actor</x:v>
      </x:c>
      <x:c r="F208" s="9" t="str">
        <x:v>Server</x:v>
      </x:c>
      <x:c r="G208" s="9" t="str">
        <x:v>schedule configuration</x:v>
      </x:c>
      <x:c r="H208" s="9" t="str">
        <x:v>2026-08-06</x:v>
      </x:c>
      <x:c r="I208" s="9" t="str">
        <x:v>PASS</x:v>
      </x:c>
      <x:c r="J208" s="9" t="str">
        <x:v>Post-fix acceptance passed for Teacher branch assignment: 1 exact named test(s) matched and passed on build 1.2.3+156.</x:v>
      </x:c>
      <x:c r="K208" s="9" t="str">
        <x:v>evidence/server-test-json-final-156.json</x:v>
      </x:c>
      <x:c r="L208" s="9" t="str"/>
      <x:c r="M208" s="9" t="str">
        <x:v>Codex</x:v>
      </x:c>
      <x:c r="N208" s="9" t="str">
        <x:v>Server: server/src/crm/schedule/constraint-engine.spec.ts :: schedule constraint engine rules evaluates hours, positive availability, explicit unavailability and branch assignment</x:v>
      </x:c>
    </x:row>
    <x:row r="209">
      <x:c r="A209" s="9" t="str">
        <x:v>RUN-G-153</x:v>
      </x:c>
      <x:c r="B209" s="9" t="str">
        <x:v>SCH-033</x:v>
      </x:c>
      <x:c r="C209" s="9" t="str">
        <x:v>REGRESSION</x:v>
      </x:c>
      <x:c r="D209" s="9" t="str">
        <x:v>1.2.3+156</x:v>
      </x:c>
      <x:c r="E209" s="9" t="str">
        <x:v>разрешённый config actor</x:v>
      </x:c>
      <x:c r="F209" s="9" t="str">
        <x:v>Server</x:v>
      </x:c>
      <x:c r="G209" s="9" t="str">
        <x:v>schedule configuration</x:v>
      </x:c>
      <x:c r="H209" s="9" t="str">
        <x:v>2026-08-06</x:v>
      </x:c>
      <x:c r="I209" s="9" t="str">
        <x:v>PASS</x:v>
      </x:c>
      <x:c r="J209" s="9" t="str">
        <x:v>Post-fix acceptance passed for Teacher availability: 1 exact named test(s) matched and passed on build 1.2.3+156.</x:v>
      </x:c>
      <x:c r="K209" s="9" t="str">
        <x:v>evidence/server-test-json-final-156.json</x:v>
      </x:c>
      <x:c r="L209" s="9" t="str"/>
      <x:c r="M209" s="9" t="str">
        <x:v>Codex</x:v>
      </x:c>
      <x:c r="N209" s="9" t="str">
        <x:v>Server: server/src/crm/schedule/availability.spec.ts :: schedule availability rules supports recurring, bounded interval and indefinite unavailability</x:v>
      </x:c>
    </x:row>
    <x:row r="210">
      <x:c r="A210" s="9" t="str">
        <x:v>RUN-G-154</x:v>
      </x:c>
      <x:c r="B210" s="9" t="str">
        <x:v>SCH-034</x:v>
      </x:c>
      <x:c r="C210" s="9" t="str">
        <x:v>REGRESSION</x:v>
      </x:c>
      <x:c r="D210" s="9" t="str">
        <x:v>1.2.3+156</x:v>
      </x:c>
      <x:c r="E210" s="9" t="str">
        <x:v>schedule writer</x:v>
      </x:c>
      <x:c r="F210" s="9" t="str">
        <x:v>Server</x:v>
      </x:c>
      <x:c r="G210" s="9" t="str">
        <x:v>schedule.lesson.write</x:v>
      </x:c>
      <x:c r="H210" s="9" t="str">
        <x:v>2026-08-06</x:v>
      </x:c>
      <x:c r="I210" s="9" t="str">
        <x:v>PASS</x:v>
      </x:c>
      <x:c r="J210" s="9" t="str">
        <x:v>Post-fix acceptance passed for Room availability: 1 exact named test(s) matched and passed on build 1.2.3+156.</x:v>
      </x:c>
      <x:c r="K210" s="9" t="str">
        <x:v>evidence/server-test-json-final-156.json</x:v>
      </x:c>
      <x:c r="L210" s="9" t="str"/>
      <x:c r="M210" s="9" t="str">
        <x:v>Codex</x:v>
      </x:c>
      <x:c r="N210" s="9" t="str">
        <x:v>Server: server/src/crm/rooms.service.spec.ts :: RoomsService returns room availability with slot conflicts</x:v>
      </x:c>
    </x:row>
    <x:row r="211">
      <x:c r="A211" s="9" t="str">
        <x:v>RUN-G-155</x:v>
      </x:c>
      <x:c r="B211" s="9" t="str">
        <x:v>COM-001</x:v>
      </x:c>
      <x:c r="C211" s="9" t="str">
        <x:v>REGRESSION</x:v>
      </x:c>
      <x:c r="D211" s="9" t="str">
        <x:v>1.2.3+156</x:v>
      </x:c>
      <x:c r="E211" s="9" t="str">
        <x:v>разрешённый staff</x:v>
      </x:c>
      <x:c r="F211" s="9" t="str">
        <x:v>Server</x:v>
      </x:c>
      <x:c r="G211" s="9" t="str">
        <x:v>commerce.package.read</x:v>
      </x:c>
      <x:c r="H211" s="9" t="str">
        <x:v>2026-08-06</x:v>
      </x:c>
      <x:c r="I211" s="9" t="str">
        <x:v>PASS</x:v>
      </x:c>
      <x:c r="J211" s="9" t="str">
        <x:v>Post-fix acceptance passed for Package catalog read: 1 exact named test(s) matched and passed on build 1.2.3+156.</x:v>
      </x:c>
      <x:c r="K211" s="9" t="str">
        <x:v>evidence/server-test-json-final-156.json</x:v>
      </x:c>
      <x:c r="L211" s="9" t="str"/>
      <x:c r="M211" s="9" t="str">
        <x:v>Codex</x:v>
      </x:c>
      <x:c r="N211" s="9" t="str">
        <x:v>Server: server/src/crm/commerce/package-catalog.integration.spec.ts :: Subscription Package catalog (PostgreSQL) enforces the six-role read/mutate matrix</x:v>
      </x:c>
    </x:row>
    <x:row r="212">
      <x:c r="A212" s="9" t="str">
        <x:v>RUN-G-156</x:v>
      </x:c>
      <x:c r="B212" s="9" t="str">
        <x:v>COM-002</x:v>
      </x:c>
      <x:c r="C212" s="9" t="str">
        <x:v>REGRESSION</x:v>
      </x:c>
      <x:c r="D212" s="9" t="str">
        <x:v>1.2.3+156</x:v>
      </x:c>
      <x:c r="E212" s="9" t="str">
        <x:v>директор/system admin</x:v>
      </x:c>
      <x:c r="F212" s="9" t="str">
        <x:v>Server</x:v>
      </x:c>
      <x:c r="G212" s="9" t="str">
        <x:v>commerce.package.manage</x:v>
      </x:c>
      <x:c r="H212" s="9" t="str">
        <x:v>2026-08-06</x:v>
      </x:c>
      <x:c r="I212" s="9" t="str">
        <x:v>PASS</x:v>
      </x:c>
      <x:c r="J212" s="9" t="str">
        <x:v>Post-fix acceptance passed for Create package: 1 exact named test(s) matched and passed on build 1.2.3+156.</x:v>
      </x:c>
      <x:c r="K212" s="9" t="str">
        <x:v>evidence/server-test-json-final-156.json</x:v>
      </x:c>
      <x:c r="L212" s="9" t="str"/>
      <x:c r="M212" s="9" t="str">
        <x:v>Codex</x:v>
      </x:c>
      <x:c r="N212" s="9" t="str">
        <x:v>Server: server/src/crm/commerce/package-catalog.integration.spec.ts :: Subscription Package catalog (PostgreSQL) allows one concurrent writer and keeps audit/outbox/version in sync</x:v>
      </x:c>
    </x:row>
    <x:row r="213">
      <x:c r="A213" s="9" t="str">
        <x:v>RUN-G-157</x:v>
      </x:c>
      <x:c r="B213" s="9" t="str">
        <x:v>COM-003</x:v>
      </x:c>
      <x:c r="C213" s="9" t="str">
        <x:v>REGRESSION</x:v>
      </x:c>
      <x:c r="D213" s="9" t="str">
        <x:v>1.2.3+156</x:v>
      </x:c>
      <x:c r="E213" s="9" t="str">
        <x:v>директор/system admin</x:v>
      </x:c>
      <x:c r="F213" s="9" t="str">
        <x:v>Server</x:v>
      </x:c>
      <x:c r="G213" s="9" t="str">
        <x:v>commerce.package.manage</x:v>
      </x:c>
      <x:c r="H213" s="9" t="str">
        <x:v>2026-08-06</x:v>
      </x:c>
      <x:c r="I213" s="9" t="str">
        <x:v>PASS</x:v>
      </x:c>
      <x:c r="J213" s="9" t="str">
        <x:v>Post-fix acceptance passed for Edit package: 1 exact named test(s) matched and passed on build 1.2.3+156.</x:v>
      </x:c>
      <x:c r="K213" s="9" t="str">
        <x:v>evidence/server-test-json-final-156.json</x:v>
      </x:c>
      <x:c r="L213" s="9" t="str"/>
      <x:c r="M213" s="9" t="str">
        <x:v>Codex</x:v>
      </x:c>
      <x:c r="N213" s="9" t="str">
        <x:v>Server: server/src/crm/commerce/package-catalog.integration.spec.ts :: Subscription Package catalog (PostgreSQL) issues immutable snapshots before and after catalog update, then archives a used package</x:v>
      </x:c>
    </x:row>
    <x:row r="214">
      <x:c r="A214" s="9" t="str">
        <x:v>RUN-G-158</x:v>
      </x:c>
      <x:c r="B214" s="9" t="str">
        <x:v>COM-004</x:v>
      </x:c>
      <x:c r="C214" s="9" t="str">
        <x:v>REGRESSION</x:v>
      </x:c>
      <x:c r="D214" s="9" t="str">
        <x:v>1.2.3+156</x:v>
      </x:c>
      <x:c r="E214" s="9" t="str">
        <x:v>директор/system admin</x:v>
      </x:c>
      <x:c r="F214" s="9" t="str">
        <x:v>Server</x:v>
      </x:c>
      <x:c r="G214" s="9" t="str">
        <x:v>commerce.package.manage</x:v>
      </x:c>
      <x:c r="H214" s="9" t="str">
        <x:v>2026-08-06</x:v>
      </x:c>
      <x:c r="I214" s="9" t="str">
        <x:v>PASS</x:v>
      </x:c>
      <x:c r="J214" s="9" t="str">
        <x:v>Post-fix acceptance passed for Archive package: 1 exact named test(s) matched and passed on build 1.2.3+156.</x:v>
      </x:c>
      <x:c r="K214" s="9" t="str">
        <x:v>evidence/server-test-json-final-156.json</x:v>
      </x:c>
      <x:c r="L214" s="9" t="str"/>
      <x:c r="M214" s="9" t="str">
        <x:v>Codex</x:v>
      </x:c>
      <x:c r="N214" s="9" t="str">
        <x:v>Server: server/src/crm/commerce/package-catalog.integration.spec.ts :: Subscription Package catalog (PostgreSQL) keeps archived rows root-visible and restores the same versioned row</x:v>
      </x:c>
    </x:row>
    <x:row r="215">
      <x:c r="A215" s="9" t="str">
        <x:v>RUN-G-159</x:v>
      </x:c>
      <x:c r="B215" s="9" t="str">
        <x:v>COM-005</x:v>
      </x:c>
      <x:c r="C215" s="9" t="str">
        <x:v>REGRESSION</x:v>
      </x:c>
      <x:c r="D215" s="9" t="str">
        <x:v>1.2.3+156</x:v>
      </x:c>
      <x:c r="E215" s="9" t="str">
        <x:v>директор/system admin</x:v>
      </x:c>
      <x:c r="F215" s="9" t="str">
        <x:v>Server</x:v>
      </x:c>
      <x:c r="G215" s="9" t="str">
        <x:v>commerce.package.manage</x:v>
      </x:c>
      <x:c r="H215" s="9" t="str">
        <x:v>2026-08-06</x:v>
      </x:c>
      <x:c r="I215" s="9" t="str">
        <x:v>PASS</x:v>
      </x:c>
      <x:c r="J215" s="9" t="str">
        <x:v>Post-fix acceptance passed for Restore package: 1 exact named test(s) matched and passed on build 1.2.3+156.</x:v>
      </x:c>
      <x:c r="K215" s="9" t="str">
        <x:v>evidence/server-test-json-final-156.json</x:v>
      </x:c>
      <x:c r="L215" s="9" t="str"/>
      <x:c r="M215" s="9" t="str">
        <x:v>Codex</x:v>
      </x:c>
      <x:c r="N215" s="9" t="str">
        <x:v>Server: server/src/crm/commerce/package-catalog.integration.spec.ts :: Subscription Package catalog (PostgreSQL) keeps archived rows root-visible and restores the same versioned row</x:v>
      </x:c>
    </x:row>
    <x:row r="216">
      <x:c r="A216" s="9" t="str">
        <x:v>RUN-G-160</x:v>
      </x:c>
      <x:c r="B216" s="9" t="str">
        <x:v>COM-006</x:v>
      </x:c>
      <x:c r="C216" s="9" t="str">
        <x:v>REGRESSION</x:v>
      </x:c>
      <x:c r="D216" s="9" t="str">
        <x:v>1.2.3+156</x:v>
      </x:c>
      <x:c r="E216" s="9" t="str">
        <x:v>разрешённый staff</x:v>
      </x:c>
      <x:c r="F216" s="9" t="str">
        <x:v>Server</x:v>
      </x:c>
      <x:c r="G216" s="9" t="str">
        <x:v>student finance write</x:v>
      </x:c>
      <x:c r="H216" s="9" t="str">
        <x:v>2026-08-06</x:v>
      </x:c>
      <x:c r="I216" s="9" t="str">
        <x:v>PASS</x:v>
      </x:c>
      <x:c r="J216" s="9" t="str">
        <x:v>Post-fix acceptance passed for Issue Student subscription: 1 exact named test(s) matched and passed on build 1.2.3+156.</x:v>
      </x:c>
      <x:c r="K216" s="9" t="str">
        <x:v>evidence/server-test-json-final-156.json</x:v>
      </x:c>
      <x:c r="L216" s="9" t="str"/>
      <x:c r="M216" s="9" t="str">
        <x:v>Codex</x:v>
      </x:c>
      <x:c r="N216" s="9" t="str">
        <x:v>Server: server/src/crm/commerce/subscription-issue-postgres.integration.spec.ts :: Subscription issue, discount, installments and ActualPayment issues 8000 - 20% = 6400 with exact installments and no revenue</x:v>
      </x:c>
    </x:row>
    <x:row r="217">
      <x:c r="A217" s="9" t="str">
        <x:v>RUN-G-161</x:v>
      </x:c>
      <x:c r="B217" s="9" t="str">
        <x:v>COM-007</x:v>
      </x:c>
      <x:c r="C217" s="9" t="str">
        <x:v>REGRESSION</x:v>
      </x:c>
      <x:c r="D217" s="9" t="str">
        <x:v>1.2.3+156</x:v>
      </x:c>
      <x:c r="E217" s="9" t="str">
        <x:v>разрешённый staff</x:v>
      </x:c>
      <x:c r="F217" s="9" t="str">
        <x:v>Server</x:v>
      </x:c>
      <x:c r="G217" s="9" t="str">
        <x:v>client finance write</x:v>
      </x:c>
      <x:c r="H217" s="9" t="str">
        <x:v>2026-08-06</x:v>
      </x:c>
      <x:c r="I217" s="9" t="str">
        <x:v>PASS</x:v>
      </x:c>
      <x:c r="J217" s="9" t="str">
        <x:v>Post-fix acceptance passed for Issue Lead subscription: 1 exact named test(s) matched and passed on build 1.2.3+156.</x:v>
      </x:c>
      <x:c r="K217" s="9" t="str">
        <x:v>evidence/server-test-json-final-156.json</x:v>
      </x:c>
      <x:c r="L217" s="9" t="str"/>
      <x:c r="M217" s="9" t="str">
        <x:v>Codex</x:v>
      </x:c>
      <x:c r="N217" s="9" t="str">
        <x:v>Server: server/src/crm/crm-leads.controller.spec.ts :: CrmLeadsController delegates the additive lead subscription issue contract</x:v>
      </x:c>
    </x:row>
    <x:row r="218">
      <x:c r="A218" s="9" t="str">
        <x:v>RUN-G-162</x:v>
      </x:c>
      <x:c r="B218" s="9" t="str">
        <x:v>COM-008</x:v>
      </x:c>
      <x:c r="C218" s="9" t="str">
        <x:v>REGRESSION</x:v>
      </x:c>
      <x:c r="D218" s="9" t="str">
        <x:v>1.2.3+156</x:v>
      </x:c>
      <x:c r="E218" s="9" t="str">
        <x:v>разрешённый staff</x:v>
      </x:c>
      <x:c r="F218" s="9" t="str">
        <x:v>Server</x:v>
      </x:c>
      <x:c r="G218" s="9" t="str">
        <x:v>client finance write</x:v>
      </x:c>
      <x:c r="H218" s="9" t="str">
        <x:v>2026-08-06</x:v>
      </x:c>
      <x:c r="I218" s="9" t="str">
        <x:v>PASS</x:v>
      </x:c>
      <x:c r="J218" s="9" t="str">
        <x:v>Post-fix acceptance passed for Commercial terms: 1 exact named test(s) matched and passed on build 1.2.3+156.</x:v>
      </x:c>
      <x:c r="K218" s="9" t="str">
        <x:v>evidence/server-test-json-final-156.json</x:v>
      </x:c>
      <x:c r="L218" s="9" t="str"/>
      <x:c r="M218" s="9" t="str">
        <x:v>Codex</x:v>
      </x:c>
      <x:c r="N218" s="9" t="str">
        <x:v>Server: server/src/crm/commerce/subscription-issue-postgres.integration.spec.ts :: Subscription issue, discount, installments and ActualPayment rejects invalid commercial terms atomically</x:v>
      </x:c>
    </x:row>
    <x:row r="219">
      <x:c r="A219" s="9" t="str">
        <x:v>RUN-G-163</x:v>
      </x:c>
      <x:c r="B219" s="9" t="str">
        <x:v>COM-009</x:v>
      </x:c>
      <x:c r="C219" s="9" t="str">
        <x:v>REGRESSION</x:v>
      </x:c>
      <x:c r="D219" s="9" t="str">
        <x:v>1.2.3+156</x:v>
      </x:c>
      <x:c r="E219" s="9" t="str">
        <x:v>разрешённый staff</x:v>
      </x:c>
      <x:c r="F219" s="9" t="str">
        <x:v>Flutter</x:v>
      </x:c>
      <x:c r="G219" s="9" t="str">
        <x:v>client finance write</x:v>
      </x:c>
      <x:c r="H219" s="9" t="str">
        <x:v>2026-08-06</x:v>
      </x:c>
      <x:c r="I219" s="9" t="str">
        <x:v>PASS</x:v>
      </x:c>
      <x:c r="J219" s="9" t="str">
        <x:v>Post-fix acceptance passed for Record payment: 1 exact named test(s) matched and passed on build 1.2.3+156.</x:v>
      </x:c>
      <x:c r="K219" s="9" t="str">
        <x:v>evidence/flutter-test-machine-final-156.ndjson</x:v>
      </x:c>
      <x:c r="L219" s="9" t="str"/>
      <x:c r="M219" s="9" t="str">
        <x:v>Codex</x:v>
      </x:c>
      <x:c r="N219" s="9" t="str">
        <x:v>Flutter: test/features/v6/client_payments_tab_test.dart :: manager records a branch-scoped immutable payment from the tab</x:v>
      </x:c>
    </x:row>
    <x:row r="220">
      <x:c r="A220" s="9" t="str">
        <x:v>RUN-G-164</x:v>
      </x:c>
      <x:c r="B220" s="9" t="str">
        <x:v>COM-010</x:v>
      </x:c>
      <x:c r="C220" s="9" t="str">
        <x:v>REGRESSION</x:v>
      </x:c>
      <x:c r="D220" s="9" t="str">
        <x:v>1.2.3+156</x:v>
      </x:c>
      <x:c r="E220" s="9" t="str">
        <x:v>клиент</x:v>
      </x:c>
      <x:c r="F220" s="9" t="str">
        <x:v>Server</x:v>
      </x:c>
      <x:c r="G220" s="9" t="str">
        <x:v>client self</x:v>
      </x:c>
      <x:c r="H220" s="9" t="str">
        <x:v>2026-08-06</x:v>
      </x:c>
      <x:c r="I220" s="9" t="str">
        <x:v>PASS</x:v>
      </x:c>
      <x:c r="J220" s="9" t="str">
        <x:v>Post-fix acceptance passed for Client commerce self view: 1 exact named test(s) matched and passed on build 1.2.3+156.</x:v>
      </x:c>
      <x:c r="K220" s="9" t="str">
        <x:v>evidence/server-test-json-final-156.json</x:v>
      </x:c>
      <x:c r="L220" s="9" t="str"/>
      <x:c r="M220" s="9" t="str">
        <x:v>Codex</x:v>
      </x:c>
      <x:c r="N220" s="9" t="str">
        <x:v>Server: server/src/crm/commerce/commerce-projections.contract.spec.ts :: v4 commerce projections contract returns the separate client self envelope without embedded internals</x:v>
      </x:c>
    </x:row>
    <x:row r="221">
      <x:c r="A221" s="9" t="str">
        <x:v>RUN-G-165</x:v>
      </x:c>
      <x:c r="B221" s="9" t="str">
        <x:v>COM-011</x:v>
      </x:c>
      <x:c r="C221" s="9" t="str">
        <x:v>REGRESSION</x:v>
      </x:c>
      <x:c r="D221" s="9" t="str">
        <x:v>1.2.3+156</x:v>
      </x:c>
      <x:c r="E221" s="9" t="str">
        <x:v>admin/manager/director</x:v>
      </x:c>
      <x:c r="F221" s="9" t="str">
        <x:v>Server</x:v>
      </x:c>
      <x:c r="G221" s="9" t="str">
        <x:v>canReadStudentFinance</x:v>
      </x:c>
      <x:c r="H221" s="9" t="str">
        <x:v>2026-08-06</x:v>
      </x:c>
      <x:c r="I221" s="9" t="str">
        <x:v>PASS</x:v>
      </x:c>
      <x:c r="J221" s="9" t="str">
        <x:v>Post-fix acceptance passed for Staff client commerce view: 1 exact named test(s) matched and passed on build 1.2.3+156.</x:v>
      </x:c>
      <x:c r="K221" s="9" t="str">
        <x:v>evidence/server-test-json-final-156.json</x:v>
      </x:c>
      <x:c r="L221" s="9" t="str"/>
      <x:c r="M221" s="9" t="str">
        <x:v>Codex</x:v>
      </x:c>
      <x:c r="N221" s="9" t="str">
        <x:v>Server: server/src/crm/commerce/commerce-projections.contract.spec.ts :: v4 commerce projections contract sanitizes client DTOs and only retains discount reason for staff</x:v>
      </x:c>
    </x:row>
    <x:row r="222">
      <x:c r="A222" s="9" t="str">
        <x:v>RUN-G-166</x:v>
      </x:c>
      <x:c r="B222" s="9" t="str">
        <x:v>COM-012</x:v>
      </x:c>
      <x:c r="C222" s="9" t="str">
        <x:v>REGRESSION</x:v>
      </x:c>
      <x:c r="D222" s="9" t="str">
        <x:v>1.2.3+156</x:v>
      </x:c>
      <x:c r="E222" s="9" t="str">
        <x:v>клиент/staff</x:v>
      </x:c>
      <x:c r="F222" s="9" t="str">
        <x:v>Flutter</x:v>
      </x:c>
      <x:c r="G222" s="9" t="str">
        <x:v>actor client finance scope</x:v>
      </x:c>
      <x:c r="H222" s="9" t="str">
        <x:v>2026-08-06</x:v>
      </x:c>
      <x:c r="I222" s="9" t="str">
        <x:v>PASS</x:v>
      </x:c>
      <x:c r="J222" s="9" t="str">
        <x:v>Post-fix acceptance passed for Paid lesson balance: 1 exact named test(s) matched and passed on build 1.2.3+156.</x:v>
      </x:c>
      <x:c r="K222" s="9" t="str">
        <x:v>evidence/flutter-test-machine-final-156.ndjson</x:v>
      </x:c>
      <x:c r="L222" s="9" t="str"/>
      <x:c r="M222" s="9" t="str">
        <x:v>Codex</x:v>
      </x:c>
      <x:c r="N222" s="9" t="str">
        <x:v>Flutter: test/features/v6/client_payments_tab_test.dart :: lesson tab shows the reconciled server balance and its links</x:v>
      </x:c>
    </x:row>
    <x:row r="223">
      <x:c r="A223" s="9" t="str">
        <x:v>RUN-G-167</x:v>
      </x:c>
      <x:c r="B223" s="9" t="str">
        <x:v>COM-013</x:v>
      </x:c>
      <x:c r="C223" s="9" t="str">
        <x:v>REGRESSION</x:v>
      </x:c>
      <x:c r="D223" s="9" t="str">
        <x:v>1.2.3+156</x:v>
      </x:c>
      <x:c r="E223" s="9" t="str">
        <x:v>разрешённый staff</x:v>
      </x:c>
      <x:c r="F223" s="9" t="str">
        <x:v>Server</x:v>
      </x:c>
      <x:c r="G223" s="9" t="str">
        <x:v>client finance read</x:v>
      </x:c>
      <x:c r="H223" s="9" t="str">
        <x:v>2026-08-06</x:v>
      </x:c>
      <x:c r="I223" s="9" t="str">
        <x:v>PASS</x:v>
      </x:c>
      <x:c r="J223" s="9" t="str">
        <x:v>Post-fix acceptance passed for Client ledger: 1 exact named test(s) matched and passed on build 1.2.3+156.</x:v>
      </x:c>
      <x:c r="K223" s="9" t="str">
        <x:v>evidence/server-test-json-final-156.json</x:v>
      </x:c>
      <x:c r="L223" s="9" t="str"/>
      <x:c r="M223" s="9" t="str">
        <x:v>Codex</x:v>
      </x:c>
      <x:c r="N223" s="9" t="str">
        <x:v>Server: server/src/crm/finance.service.spec.ts :: FinanceService lists the student ledger with signed amounts, totals and direction filter</x:v>
      </x:c>
    </x:row>
    <x:row r="224">
      <x:c r="A224" s="9" t="str">
        <x:v>RUN-G-168</x:v>
      </x:c>
      <x:c r="B224" s="9" t="str">
        <x:v>COM-014</x:v>
      </x:c>
      <x:c r="C224" s="9" t="str">
        <x:v>REGRESSION</x:v>
      </x:c>
      <x:c r="D224" s="9" t="str">
        <x:v>1.2.3+156</x:v>
      </x:c>
      <x:c r="E224" s="9" t="str">
        <x:v>разрешённый staff</x:v>
      </x:c>
      <x:c r="F224" s="9" t="str">
        <x:v>Server</x:v>
      </x:c>
      <x:c r="G224" s="9" t="str">
        <x:v>client finance write</x:v>
      </x:c>
      <x:c r="H224" s="9" t="str">
        <x:v>2026-08-06</x:v>
      </x:c>
      <x:c r="I224" s="9" t="str">
        <x:v>PASS</x:v>
      </x:c>
      <x:c r="J224" s="9" t="str">
        <x:v>Post-fix acceptance passed for Ledger adjustment: 1 exact named test(s) matched and passed on build 1.2.3+156.</x:v>
      </x:c>
      <x:c r="K224" s="9" t="str">
        <x:v>evidence/server-test-json-final-156.json</x:v>
      </x:c>
      <x:c r="L224" s="9" t="str"/>
      <x:c r="M224" s="9" t="str">
        <x:v>Codex</x:v>
      </x:c>
      <x:c r="N224" s="9" t="str">
        <x:v>Server: server/src/crm/commerce/subscription-issue-postgres.integration.spec.ts :: Subscription issue, discount, installments and ActualPayment issues 8000 - 20% = 6400 with exact installments and no revenue</x:v>
      </x:c>
    </x:row>
    <x:row r="225">
      <x:c r="A225" s="9" t="str">
        <x:v>RUN-G-169</x:v>
      </x:c>
      <x:c r="B225" s="9" t="str">
        <x:v>COM-015</x:v>
      </x:c>
      <x:c r="C225" s="9" t="str">
        <x:v>REGRESSION</x:v>
      </x:c>
      <x:c r="D225" s="9" t="str">
        <x:v>1.2.3+156</x:v>
      </x:c>
      <x:c r="E225" s="9" t="str">
        <x:v>разрешённый staff</x:v>
      </x:c>
      <x:c r="F225" s="9" t="str">
        <x:v>Server</x:v>
      </x:c>
      <x:c r="G225" s="9" t="str">
        <x:v>client finance write</x:v>
      </x:c>
      <x:c r="H225" s="9" t="str">
        <x:v>2026-08-06</x:v>
      </x:c>
      <x:c r="I225" s="9" t="str">
        <x:v>PASS</x:v>
      </x:c>
      <x:c r="J225" s="9" t="str">
        <x:v>Post-fix acceptance passed for Balance transfer: 1 exact named test(s) matched and passed on build 1.2.3+156.</x:v>
      </x:c>
      <x:c r="K225" s="9" t="str">
        <x:v>evidence/server-test-json-final-156.json</x:v>
      </x:c>
      <x:c r="L225" s="9" t="str"/>
      <x:c r="M225" s="9" t="str">
        <x:v>Codex</x:v>
      </x:c>
      <x:c r="N225" s="9" t="str">
        <x:v>Server: server/src/crm/finance.service.spec.ts :: FinanceService createAccountTransfer writes both legs with opposite signs and links the counterparties</x:v>
      </x:c>
    </x:row>
    <x:row r="226">
      <x:c r="A226" s="9" t="str">
        <x:v>RUN-G-170</x:v>
      </x:c>
      <x:c r="B226" s="9" t="str">
        <x:v>COM-016</x:v>
      </x:c>
      <x:c r="C226" s="9" t="str">
        <x:v>REGRESSION</x:v>
      </x:c>
      <x:c r="D226" s="9" t="str">
        <x:v>1.2.3+156</x:v>
      </x:c>
      <x:c r="E226" s="9" t="str">
        <x:v>разрешённый staff</x:v>
      </x:c>
      <x:c r="F226" s="9" t="str">
        <x:v>Server</x:v>
      </x:c>
      <x:c r="G226" s="9" t="str">
        <x:v>client finance read</x:v>
      </x:c>
      <x:c r="H226" s="9" t="str">
        <x:v>2026-08-06</x:v>
      </x:c>
      <x:c r="I226" s="9" t="str">
        <x:v>PASS</x:v>
      </x:c>
      <x:c r="J226" s="9" t="str">
        <x:v>Post-fix acceptance passed for Expected payments: 1 exact named test(s) matched and passed on build 1.2.3+156.</x:v>
      </x:c>
      <x:c r="K226" s="9" t="str">
        <x:v>evidence/server-test-json-final-156.json</x:v>
      </x:c>
      <x:c r="L226" s="9" t="str"/>
      <x:c r="M226" s="9" t="str">
        <x:v>Codex</x:v>
      </x:c>
      <x:c r="N226" s="9" t="str">
        <x:v>Server: server/src/crm/finance.service.spec.ts :: FinanceService lists expected payments after student read authorization</x:v>
      </x:c>
    </x:row>
    <x:row r="227">
      <x:c r="A227" s="9" t="str">
        <x:v>RUN-G-171</x:v>
      </x:c>
      <x:c r="B227" s="9" t="str">
        <x:v>COM-017</x:v>
      </x:c>
      <x:c r="C227" s="9" t="str">
        <x:v>REGRESSION</x:v>
      </x:c>
      <x:c r="D227" s="9" t="str">
        <x:v>1.2.3+156</x:v>
      </x:c>
      <x:c r="E227" s="9" t="str">
        <x:v>разрешённый staff</x:v>
      </x:c>
      <x:c r="F227" s="9" t="str">
        <x:v>Server</x:v>
      </x:c>
      <x:c r="G227" s="9" t="str">
        <x:v>client finance write</x:v>
      </x:c>
      <x:c r="H227" s="9" t="str">
        <x:v>2026-08-06</x:v>
      </x:c>
      <x:c r="I227" s="9" t="str">
        <x:v>PASS</x:v>
      </x:c>
      <x:c r="J227" s="9" t="str">
        <x:v>Post-fix acceptance passed for Subscription replacement preview: 1 exact named test(s) matched and passed on build 1.2.3+156.</x:v>
      </x:c>
      <x:c r="K227" s="9" t="str">
        <x:v>evidence/server-test-json-final-156.json</x:v>
      </x:c>
      <x:c r="L227" s="9" t="str"/>
      <x:c r="M227" s="9" t="str">
        <x:v>Codex</x:v>
      </x:c>
      <x:c r="N227" s="9" t="str">
        <x:v>Server: server/src/crm/commerce/subscription-replace-postgres.integration.spec.ts :: Subscription replacement preview/confirm blocks insufficient volume, cross-currency and cross-student paths with persisted=0</x:v>
      </x:c>
    </x:row>
    <x:row r="228">
      <x:c r="A228" s="9" t="str">
        <x:v>RUN-G-172</x:v>
      </x:c>
      <x:c r="B228" s="9" t="str">
        <x:v>COM-018</x:v>
      </x:c>
      <x:c r="C228" s="9" t="str">
        <x:v>REGRESSION</x:v>
      </x:c>
      <x:c r="D228" s="9" t="str">
        <x:v>1.2.3+156</x:v>
      </x:c>
      <x:c r="E228" s="9" t="str">
        <x:v>разрешённый staff</x:v>
      </x:c>
      <x:c r="F228" s="9" t="str">
        <x:v>Server</x:v>
      </x:c>
      <x:c r="G228" s="9" t="str">
        <x:v>client finance write</x:v>
      </x:c>
      <x:c r="H228" s="9" t="str">
        <x:v>2026-08-06</x:v>
      </x:c>
      <x:c r="I228" s="9" t="str">
        <x:v>PASS</x:v>
      </x:c>
      <x:c r="J228" s="9" t="str">
        <x:v>Post-fix acceptance passed for Replace subscription: 1 exact named test(s) matched and passed on build 1.2.3+156.</x:v>
      </x:c>
      <x:c r="K228" s="9" t="str">
        <x:v>evidence/server-test-json-final-156.json</x:v>
      </x:c>
      <x:c r="L228" s="9" t="str"/>
      <x:c r="M228" s="9" t="str">
        <x:v>Codex</x:v>
      </x:c>
      <x:c r="N228" s="9" t="str">
        <x:v>Server: server/src/crm/commerce/subscription-replace-postgres.integration.spec.ts :: Subscription replacement preview/confirm replaces with a dearer snapshot, preserves payment and deterministically releases overflow reservations</x:v>
      </x:c>
    </x:row>
    <x:row r="229">
      <x:c r="A229" s="9" t="str">
        <x:v>RUN-G-173</x:v>
      </x:c>
      <x:c r="B229" s="9" t="str">
        <x:v>COM-019</x:v>
      </x:c>
      <x:c r="C229" s="9" t="str">
        <x:v>REGRESSION</x:v>
      </x:c>
      <x:c r="D229" s="9" t="str">
        <x:v>1.2.3+156</x:v>
      </x:c>
      <x:c r="E229" s="9" t="str">
        <x:v>разрешённый staff</x:v>
      </x:c>
      <x:c r="F229" s="9" t="str">
        <x:v>Server</x:v>
      </x:c>
      <x:c r="G229" s="9" t="str">
        <x:v>client finance write</x:v>
      </x:c>
      <x:c r="H229" s="9" t="str">
        <x:v>2026-08-06</x:v>
      </x:c>
      <x:c r="I229" s="9" t="str">
        <x:v>PASS</x:v>
      </x:c>
      <x:c r="J229" s="9" t="str">
        <x:v>Post-fix acceptance passed for Cancellation preview: 1 exact named test(s) matched and passed on build 1.2.3+156.</x:v>
      </x:c>
      <x:c r="K229" s="9" t="str">
        <x:v>evidence/server-test-json-final-156.json</x:v>
      </x:c>
      <x:c r="L229" s="9" t="str"/>
      <x:c r="M229" s="9" t="str">
        <x:v>Codex</x:v>
      </x:c>
      <x:c r="N229" s="9" t="str">
        <x:v>Server: server/src/crm/commerce/subscription-cancel-postgres.integration.spec.ts :: Subscription cancellation preview/confirm previews immutable payments/writeoffs/balance and future lessons</x:v>
      </x:c>
    </x:row>
    <x:row r="230">
      <x:c r="A230" s="9" t="str">
        <x:v>RUN-G-174</x:v>
      </x:c>
      <x:c r="B230" s="9" t="str">
        <x:v>COM-020</x:v>
      </x:c>
      <x:c r="C230" s="9" t="str">
        <x:v>REGRESSION</x:v>
      </x:c>
      <x:c r="D230" s="9" t="str">
        <x:v>1.2.3+156</x:v>
      </x:c>
      <x:c r="E230" s="9" t="str">
        <x:v>разрешённый staff</x:v>
      </x:c>
      <x:c r="F230" s="9" t="str">
        <x:v>Server</x:v>
      </x:c>
      <x:c r="G230" s="9" t="str">
        <x:v>client finance write</x:v>
      </x:c>
      <x:c r="H230" s="9" t="str">
        <x:v>2026-08-06</x:v>
      </x:c>
      <x:c r="I230" s="9" t="str">
        <x:v>PASS</x:v>
      </x:c>
      <x:c r="J230" s="9" t="str">
        <x:v>Post-fix acceptance passed for Cancel subscription: 1 exact named test(s) matched and passed on build 1.2.3+156.</x:v>
      </x:c>
      <x:c r="K230" s="9" t="str">
        <x:v>evidence/server-test-json-final-156.json</x:v>
      </x:c>
      <x:c r="L230" s="9" t="str"/>
      <x:c r="M230" s="9" t="str">
        <x:v>Codex</x:v>
      </x:c>
      <x:c r="N230" s="9" t="str">
        <x:v>Server: server/src/crm/commerce/subscription-cancel-postgres.integration.spec.ts :: Subscription cancellation preview/confirm cancels lifecycle-only, releases reservations and preserves every finance/lesson fact</x:v>
      </x:c>
    </x:row>
    <x:row r="231">
      <x:c r="A231" s="9" t="str">
        <x:v>RUN-G-175</x:v>
      </x:c>
      <x:c r="B231" s="9" t="str">
        <x:v>COM-021</x:v>
      </x:c>
      <x:c r="C231" s="9" t="str">
        <x:v>REGRESSION</x:v>
      </x:c>
      <x:c r="D231" s="9" t="str">
        <x:v>1.2.3+156</x:v>
      </x:c>
      <x:c r="E231" s="9" t="str">
        <x:v>директор/system admin</x:v>
      </x:c>
      <x:c r="F231" s="9" t="str">
        <x:v>Server</x:v>
      </x:c>
      <x:c r="G231" s="9" t="str">
        <x:v>canReadSchoolFinance</x:v>
      </x:c>
      <x:c r="H231" s="9" t="str">
        <x:v>2026-08-06</x:v>
      </x:c>
      <x:c r="I231" s="9" t="str">
        <x:v>PASS</x:v>
      </x:c>
      <x:c r="J231" s="9" t="str">
        <x:v>Post-fix acceptance passed for Expenses list: 1 exact named test(s) matched and passed on build 1.2.3+156.</x:v>
      </x:c>
      <x:c r="K231" s="9" t="str">
        <x:v>evidence/server-test-json-final-156.json</x:v>
      </x:c>
      <x:c r="L231" s="9" t="str"/>
      <x:c r="M231" s="9" t="str">
        <x:v>Codex</x:v>
      </x:c>
      <x:c r="N231" s="9" t="str">
        <x:v>Server: server/src/crm/finance.service.spec.ts :: FinanceService lists expenses with branch/category filters and a total (P5-5)</x:v>
      </x:c>
    </x:row>
    <x:row r="232">
      <x:c r="A232" s="9" t="str">
        <x:v>RUN-G-176</x:v>
      </x:c>
      <x:c r="B232" s="9" t="str">
        <x:v>COM-022</x:v>
      </x:c>
      <x:c r="C232" s="9" t="str">
        <x:v>REGRESSION</x:v>
      </x:c>
      <x:c r="D232" s="9" t="str">
        <x:v>1.2.3+156</x:v>
      </x:c>
      <x:c r="E232" s="9" t="str">
        <x:v>директор/system admin</x:v>
      </x:c>
      <x:c r="F232" s="9" t="str">
        <x:v>Server</x:v>
      </x:c>
      <x:c r="G232" s="9" t="str">
        <x:v>school finance write</x:v>
      </x:c>
      <x:c r="H232" s="9" t="str">
        <x:v>2026-08-06</x:v>
      </x:c>
      <x:c r="I232" s="9" t="str">
        <x:v>PASS</x:v>
      </x:c>
      <x:c r="J232" s="9" t="str">
        <x:v>Post-fix acceptance passed for Manage expense: 1 exact named test(s) matched and passed on build 1.2.3+156.</x:v>
      </x:c>
      <x:c r="K232" s="9" t="str">
        <x:v>evidence/server-test-json-final-156.json</x:v>
      </x:c>
      <x:c r="L232" s="9" t="str"/>
      <x:c r="M232" s="9" t="str">
        <x:v>Codex</x:v>
      </x:c>
      <x:c r="N232" s="9" t="str">
        <x:v>Server: server/src/crm/finance.service.spec.ts :: FinanceService creates expenses through CRM write policy and audit (P5-5)</x:v>
      </x:c>
    </x:row>
    <x:row r="233">
      <x:c r="A233" s="9" t="str">
        <x:v>RUN-G-177</x:v>
      </x:c>
      <x:c r="B233" s="9" t="str">
        <x:v>COM-023</x:v>
      </x:c>
      <x:c r="C233" s="9" t="str">
        <x:v>REGRESSION</x:v>
      </x:c>
      <x:c r="D233" s="9" t="str">
        <x:v>1.2.3+156</x:v>
      </x:c>
      <x:c r="E233" s="9" t="str">
        <x:v>разрешённый viewer</x:v>
      </x:c>
      <x:c r="F233" s="9" t="str">
        <x:v>Server</x:v>
      </x:c>
      <x:c r="G233" s="9" t="str">
        <x:v>actor finance scope</x:v>
      </x:c>
      <x:c r="H233" s="9" t="str">
        <x:v>2026-08-06</x:v>
      </x:c>
      <x:c r="I233" s="9" t="str">
        <x:v>PASS</x:v>
      </x:c>
      <x:c r="J233" s="9" t="str">
        <x:v>Post-fix acceptance passed for Finance realtime invalidation: 1 exact named test(s) matched and passed on build 1.2.3+156.</x:v>
      </x:c>
      <x:c r="K233" s="9" t="str">
        <x:v>evidence/server-test-json-final-156.json</x:v>
      </x:c>
      <x:c r="L233" s="9" t="str"/>
      <x:c r="M233" s="9" t="str">
        <x:v>Codex</x:v>
      </x:c>
      <x:c r="N233" s="9" t="str">
        <x:v>Server: server/src/realtime/realtime-bus.spec.ts :: RealtimeBus broadcasts an opaque finance hint to staff and client rooms only</x:v>
      </x:c>
    </x:row>
    <x:row r="234">
      <x:c r="A234" s="9" t="str">
        <x:v>RUN-G-178</x:v>
      </x:c>
      <x:c r="B234" s="9" t="str">
        <x:v>TASK-001</x:v>
      </x:c>
      <x:c r="C234" s="9" t="str">
        <x:v>REGRESSION</x:v>
      </x:c>
      <x:c r="D234" s="9" t="str">
        <x:v>1.2.3+156</x:v>
      </x:c>
      <x:c r="E234" s="9" t="str">
        <x:v>manager/director/system admin</x:v>
      </x:c>
      <x:c r="F234" s="9" t="str">
        <x:v>Server</x:v>
      </x:c>
      <x:c r="G234" s="9" t="str">
        <x:v>task.read</x:v>
      </x:c>
      <x:c r="H234" s="9" t="str">
        <x:v>2026-08-06</x:v>
      </x:c>
      <x:c r="I234" s="9" t="str">
        <x:v>PASS</x:v>
      </x:c>
      <x:c r="J234" s="9" t="str">
        <x:v>Post-fix acceptance passed for Task list: 1 exact named test(s) matched and passed on build 1.2.3+156.</x:v>
      </x:c>
      <x:c r="K234" s="9" t="str">
        <x:v>evidence/server-test-json-final-156.json</x:v>
      </x:c>
      <x:c r="L234" s="9" t="str"/>
      <x:c r="M234" s="9" t="str">
        <x:v>Codex</x:v>
      </x:c>
      <x:c r="N234" s="9" t="str">
        <x:v>Server: server/src/crm/tasks/shared-task-postgres.integration.spec.ts :: SharedTask API domain (PostgreSQL) uses the dashboard predicate for the open-task detail</x:v>
      </x:c>
    </x:row>
    <x:row r="235">
      <x:c r="A235" s="9" t="str">
        <x:v>RUN-G-179</x:v>
      </x:c>
      <x:c r="B235" s="9" t="str">
        <x:v>TASK-002</x:v>
      </x:c>
      <x:c r="C235" s="9" t="str">
        <x:v>REGRESSION</x:v>
      </x:c>
      <x:c r="D235" s="9" t="str">
        <x:v>1.2.3+156</x:v>
      </x:c>
      <x:c r="E235" s="9" t="str">
        <x:v>task reader</x:v>
      </x:c>
      <x:c r="F235" s="9" t="str">
        <x:v>Server</x:v>
      </x:c>
      <x:c r="G235" s="9" t="str">
        <x:v>task.read</x:v>
      </x:c>
      <x:c r="H235" s="9" t="str">
        <x:v>2026-08-06</x:v>
      </x:c>
      <x:c r="I235" s="9" t="str">
        <x:v>PASS</x:v>
      </x:c>
      <x:c r="J235" s="9" t="str">
        <x:v>Post-fix acceptance passed for Task filters: 1 exact named test(s) matched and passed on build 1.2.3+156.</x:v>
      </x:c>
      <x:c r="K235" s="9" t="str">
        <x:v>evidence/server-test-json-final-156.json</x:v>
      </x:c>
      <x:c r="L235" s="9" t="str"/>
      <x:c r="M235" s="9" t="str">
        <x:v>Codex</x:v>
      </x:c>
      <x:c r="N235" s="9" t="str">
        <x:v>Server: server/src/crm/tasks/shared-task-postgres.integration.spec.ts :: SharedTask API domain (PostgreSQL) filters, groups by day and lets another manager reassign an open task</x:v>
      </x:c>
    </x:row>
    <x:row r="236">
      <x:c r="A236" s="9" t="str">
        <x:v>RUN-G-180</x:v>
      </x:c>
      <x:c r="B236" s="9" t="str">
        <x:v>TASK-003</x:v>
      </x:c>
      <x:c r="C236" s="9" t="str">
        <x:v>REGRESSION</x:v>
      </x:c>
      <x:c r="D236" s="9" t="str">
        <x:v>1.2.3+156</x:v>
      </x:c>
      <x:c r="E236" s="9" t="str">
        <x:v>task writer</x:v>
      </x:c>
      <x:c r="F236" s="9" t="str">
        <x:v>Flutter</x:v>
      </x:c>
      <x:c r="G236" s="9" t="str">
        <x:v>task.write + audience scope</x:v>
      </x:c>
      <x:c r="H236" s="9" t="str">
        <x:v>2026-08-06</x:v>
      </x:c>
      <x:c r="I236" s="9" t="str">
        <x:v>PASS</x:v>
      </x:c>
      <x:c r="J236" s="9" t="str">
        <x:v>Post-fix acceptance passed for Audience preview: 1 exact named test(s) matched and passed on build 1.2.3+156.</x:v>
      </x:c>
      <x:c r="K236" s="9" t="str">
        <x:v>evidence/flutter-test-machine-final-156.ndjson</x:v>
      </x:c>
      <x:c r="L236" s="9" t="str"/>
      <x:c r="M236" s="9" t="str">
        <x:v>Codex</x:v>
      </x:c>
      <x:c r="N236" s="9" t="str">
        <x:v>Flutter: test/features/v4/shared_tasks_ui_test.dart :: recipient preview distinguishes people, branch and school</x:v>
      </x:c>
    </x:row>
    <x:row r="237">
      <x:c r="A237" s="9" t="str">
        <x:v>RUN-G-181</x:v>
      </x:c>
      <x:c r="B237" s="9" t="str">
        <x:v>TASK-004</x:v>
      </x:c>
      <x:c r="C237" s="9" t="str">
        <x:v>REGRESSION</x:v>
      </x:c>
      <x:c r="D237" s="9" t="str">
        <x:v>1.2.3+156</x:v>
      </x:c>
      <x:c r="E237" s="9" t="str">
        <x:v>task writer</x:v>
      </x:c>
      <x:c r="F237" s="9" t="str">
        <x:v>Flutter</x:v>
      </x:c>
      <x:c r="G237" s="9" t="str">
        <x:v>task.write</x:v>
      </x:c>
      <x:c r="H237" s="9" t="str">
        <x:v>2026-08-06</x:v>
      </x:c>
      <x:c r="I237" s="9" t="str">
        <x:v>PASS</x:v>
      </x:c>
      <x:c r="J237" s="9" t="str">
        <x:v>Post-fix acceptance passed for Fail-closed preview: 1 exact named test(s) matched and passed on build 1.2.3+156.</x:v>
      </x:c>
      <x:c r="K237" s="9" t="str">
        <x:v>evidence/flutter-test-machine-final-156.ndjson</x:v>
      </x:c>
      <x:c r="L237" s="9" t="str"/>
      <x:c r="M237" s="9" t="str">
        <x:v>Codex</x:v>
      </x:c>
      <x:c r="N237" s="9" t="str">
        <x:v>Flutter: test/features/v4/shared_tasks_ui_test.dart :: failed recipient preview blocks submit until retry succeeds</x:v>
      </x:c>
    </x:row>
    <x:row r="238">
      <x:c r="A238" s="9" t="str">
        <x:v>RUN-G-182</x:v>
      </x:c>
      <x:c r="B238" s="9" t="str">
        <x:v>TASK-005</x:v>
      </x:c>
      <x:c r="C238" s="9" t="str">
        <x:v>REGRESSION</x:v>
      </x:c>
      <x:c r="D238" s="9" t="str">
        <x:v>1.2.3+156</x:v>
      </x:c>
      <x:c r="E238" s="9" t="str">
        <x:v>task writer</x:v>
      </x:c>
      <x:c r="F238" s="9" t="str">
        <x:v>Server</x:v>
      </x:c>
      <x:c r="G238" s="9" t="str">
        <x:v>task.write</x:v>
      </x:c>
      <x:c r="H238" s="9" t="str">
        <x:v>2026-08-06</x:v>
      </x:c>
      <x:c r="I238" s="9" t="str">
        <x:v>PASS</x:v>
      </x:c>
      <x:c r="J238" s="9" t="str">
        <x:v>Post-fix acceptance passed for Create task: 1 exact named test(s) matched and passed on build 1.2.3+156.</x:v>
      </x:c>
      <x:c r="K238" s="9" t="str">
        <x:v>evidence/server-test-json-final-156.json</x:v>
      </x:c>
      <x:c r="L238" s="9" t="str"/>
      <x:c r="M238" s="9" t="str">
        <x:v>Codex</x:v>
      </x:c>
      <x:c r="N238" s="9" t="str">
        <x:v>Server: server/src/crm/tasks/shared-task-postgres.integration.spec.ts :: SharedTask API domain (PostgreSQL) deduplicates create and resolves branch membership at request time</x:v>
      </x:c>
    </x:row>
    <x:row r="239">
      <x:c r="A239" s="9" t="str">
        <x:v>RUN-G-183</x:v>
      </x:c>
      <x:c r="B239" s="9" t="str">
        <x:v>TASK-006</x:v>
      </x:c>
      <x:c r="C239" s="9" t="str">
        <x:v>REGRESSION</x:v>
      </x:c>
      <x:c r="D239" s="9" t="str">
        <x:v>1.2.3+156</x:v>
      </x:c>
      <x:c r="E239" s="9" t="str">
        <x:v>task writer</x:v>
      </x:c>
      <x:c r="F239" s="9" t="str">
        <x:v>Server</x:v>
      </x:c>
      <x:c r="G239" s="9" t="str">
        <x:v>task.write</x:v>
      </x:c>
      <x:c r="H239" s="9" t="str">
        <x:v>2026-08-06</x:v>
      </x:c>
      <x:c r="I239" s="9" t="str">
        <x:v>PASS</x:v>
      </x:c>
      <x:c r="J239" s="9" t="str">
        <x:v>Post-fix acceptance passed for Update task: 1 exact named test(s) matched and passed on build 1.2.3+156.</x:v>
      </x:c>
      <x:c r="K239" s="9" t="str">
        <x:v>evidence/server-test-json-final-156.json</x:v>
      </x:c>
      <x:c r="L239" s="9" t="str"/>
      <x:c r="M239" s="9" t="str">
        <x:v>Codex</x:v>
      </x:c>
      <x:c r="N239" s="9" t="str">
        <x:v>Server: server/src/crm/tasks/shared-task-postgres.integration.spec.ts :: SharedTask API domain (PostgreSQL) filters, groups by day and lets another manager reassign an open task</x:v>
      </x:c>
    </x:row>
    <x:row r="240">
      <x:c r="A240" s="9" t="str">
        <x:v>RUN-G-184</x:v>
      </x:c>
      <x:c r="B240" s="9" t="str">
        <x:v>TASK-007</x:v>
      </x:c>
      <x:c r="C240" s="9" t="str">
        <x:v>REGRESSION</x:v>
      </x:c>
      <x:c r="D240" s="9" t="str">
        <x:v>1.2.3+156</x:v>
      </x:c>
      <x:c r="E240" s="9" t="str">
        <x:v>task assignee/writer</x:v>
      </x:c>
      <x:c r="F240" s="9" t="str">
        <x:v>Server</x:v>
      </x:c>
      <x:c r="G240" s="9" t="str">
        <x:v>task close policy</x:v>
      </x:c>
      <x:c r="H240" s="9" t="str">
        <x:v>2026-08-06</x:v>
      </x:c>
      <x:c r="I240" s="9" t="str">
        <x:v>PASS</x:v>
      </x:c>
      <x:c r="J240" s="9" t="str">
        <x:v>Post-fix acceptance passed for Close task: 1 exact named test(s) matched and passed on build 1.2.3+156.</x:v>
      </x:c>
      <x:c r="K240" s="9" t="str">
        <x:v>evidence/server-test-json-final-156.json</x:v>
      </x:c>
      <x:c r="L240" s="9" t="str"/>
      <x:c r="M240" s="9" t="str">
        <x:v>Codex</x:v>
      </x:c>
      <x:c r="N240" s="9" t="str">
        <x:v>Server: server/src/crm/tasks/shared-task-postgres.integration.spec.ts :: SharedTask API domain (PostgreSQL) returns one stable result when two current audience members close concurrently</x:v>
      </x:c>
    </x:row>
    <x:row r="241">
      <x:c r="A241" s="9" t="str">
        <x:v>RUN-G-185</x:v>
      </x:c>
      <x:c r="B241" s="9" t="str">
        <x:v>TASK-008</x:v>
      </x:c>
      <x:c r="C241" s="9" t="str">
        <x:v>REGRESSION</x:v>
      </x:c>
      <x:c r="D241" s="9" t="str">
        <x:v>1.2.3+156</x:v>
      </x:c>
      <x:c r="E241" s="9" t="str">
        <x:v>task reader</x:v>
      </x:c>
      <x:c r="F241" s="9" t="str">
        <x:v>Flutter</x:v>
      </x:c>
      <x:c r="G241" s="9" t="str">
        <x:v>task.read</x:v>
      </x:c>
      <x:c r="H241" s="9" t="str">
        <x:v>2026-08-06</x:v>
      </x:c>
      <x:c r="I241" s="9" t="str">
        <x:v>PASS</x:v>
      </x:c>
      <x:c r="J241" s="9" t="str">
        <x:v>Post-fix acceptance passed for Task history: 1 exact named test(s) matched and passed on build 1.2.3+156.</x:v>
      </x:c>
      <x:c r="K241" s="9" t="str">
        <x:v>evidence/flutter-test-machine-final-156.ndjson</x:v>
      </x:c>
      <x:c r="L241" s="9" t="str"/>
      <x:c r="M241" s="9" t="str">
        <x:v>Codex</x:v>
      </x:c>
      <x:c r="N241" s="9" t="str">
        <x:v>Flutter: test/features/v4/shared_tasks_ui_test.dart :: direct task link uses canonical filters and opens history</x:v>
      </x:c>
    </x:row>
    <x:row r="242">
      <x:c r="A242" s="9" t="str">
        <x:v>RUN-G-186</x:v>
      </x:c>
      <x:c r="B242" s="9" t="str">
        <x:v>TASK-009</x:v>
      </x:c>
      <x:c r="C242" s="9" t="str">
        <x:v>REGRESSION</x:v>
      </x:c>
      <x:c r="D242" s="9" t="str">
        <x:v>1.2.3+156</x:v>
      </x:c>
      <x:c r="E242" s="9" t="str">
        <x:v>task reader</x:v>
      </x:c>
      <x:c r="F242" s="9" t="str">
        <x:v>Flutter</x:v>
      </x:c>
      <x:c r="G242" s="9" t="str">
        <x:v>task.read</x:v>
      </x:c>
      <x:c r="H242" s="9" t="str">
        <x:v>2026-08-06</x:v>
      </x:c>
      <x:c r="I242" s="9" t="str">
        <x:v>PASS</x:v>
      </x:c>
      <x:c r="J242" s="9" t="str">
        <x:v>Post-fix acceptance passed for Task calendar: 1 exact named test(s) matched and passed on build 1.2.3+156.</x:v>
      </x:c>
      <x:c r="K242" s="9" t="str">
        <x:v>evidence/flutter-test-machine-final-156.ndjson</x:v>
      </x:c>
      <x:c r="L242" s="9" t="str"/>
      <x:c r="M242" s="9" t="str">
        <x:v>Codex</x:v>
      </x:c>
      <x:c r="N242" s="9" t="str">
        <x:v>Flutter: test/core/services/magic_crm_service_test.dart :: MagicCrmService uses canonical task filters and calendar</x:v>
      </x:c>
    </x:row>
    <x:row r="243">
      <x:c r="A243" s="9" t="str">
        <x:v>RUN-G-187</x:v>
      </x:c>
      <x:c r="B243" s="9" t="str">
        <x:v>TASK-010</x:v>
      </x:c>
      <x:c r="C243" s="9" t="str">
        <x:v>REGRESSION</x:v>
      </x:c>
      <x:c r="D243" s="9" t="str">
        <x:v>1.2.3+156</x:v>
      </x:c>
      <x:c r="E243" s="9" t="str">
        <x:v>staff пользователь</x:v>
      </x:c>
      <x:c r="F243" s="9" t="str">
        <x:v>Server</x:v>
      </x:c>
      <x:c r="G243" s="9" t="str">
        <x:v>task.read + client scope</x:v>
      </x:c>
      <x:c r="H243" s="9" t="str">
        <x:v>2026-08-06</x:v>
      </x:c>
      <x:c r="I243" s="9" t="str">
        <x:v>PASS</x:v>
      </x:c>
      <x:c r="J243" s="9" t="str">
        <x:v>Post-fix acceptance passed for Client linked tasks: 1 exact named test(s) matched and passed on build 1.2.3+156.</x:v>
      </x:c>
      <x:c r="K243" s="9" t="str">
        <x:v>evidence/server-test-json-final-156.json</x:v>
      </x:c>
      <x:c r="L243" s="9" t="str"/>
      <x:c r="M243" s="9" t="str">
        <x:v>Codex</x:v>
      </x:c>
      <x:c r="N243" s="9" t="str">
        <x:v>Server: server/src/crm/clients/client-card.integration.spec.ts :: ClientCardReadService (PostgreSQL) keeps client Tasks out of the Admin projection</x:v>
      </x:c>
    </x:row>
    <x:row r="244">
      <x:c r="A244" s="9" t="str">
        <x:v>RUN-G-188</x:v>
      </x:c>
      <x:c r="B244" s="9" t="str">
        <x:v>TASK-011</x:v>
      </x:c>
      <x:c r="C244" s="9" t="str">
        <x:v>REGRESSION</x:v>
      </x:c>
      <x:c r="D244" s="9" t="str">
        <x:v>1.2.3+156</x:v>
      </x:c>
      <x:c r="E244" s="9" t="str">
        <x:v>staff пользователь</x:v>
      </x:c>
      <x:c r="F244" s="9" t="str">
        <x:v>Flutter</x:v>
      </x:c>
      <x:c r="G244" s="9" t="str">
        <x:v>task.write + client scope</x:v>
      </x:c>
      <x:c r="H244" s="9" t="str">
        <x:v>2026-08-06</x:v>
      </x:c>
      <x:c r="I244" s="9" t="str">
        <x:v>PASS</x:v>
      </x:c>
      <x:c r="J244" s="9" t="str">
        <x:v>Post-fix acceptance passed for Lead quick task: 1 exact named test(s) matched and passed on build 1.2.3+156.</x:v>
      </x:c>
      <x:c r="K244" s="9" t="str">
        <x:v>evidence/flutter-test-machine-final-156.ndjson</x:v>
      </x:c>
      <x:c r="L244" s="9" t="str"/>
      <x:c r="M244" s="9" t="str">
        <x:v>Codex</x:v>
      </x:c>
      <x:c r="N244" s="9" t="str">
        <x:v>Flutter: test/features/crm/client_card/client_card_task_expand_test.dart :: задача в карточке лида раскрывается по тапу</x:v>
      </x:c>
    </x:row>
    <x:row r="245">
      <x:c r="A245" s="9" t="str">
        <x:v>RUN-G-189</x:v>
      </x:c>
      <x:c r="B245" s="9" t="str">
        <x:v>TASK-012</x:v>
      </x:c>
      <x:c r="C245" s="9" t="str">
        <x:v>REGRESSION</x:v>
      </x:c>
      <x:c r="D245" s="9" t="str">
        <x:v>1.2.3+156</x:v>
      </x:c>
      <x:c r="E245" s="9" t="str">
        <x:v>admin/teacher/client</x:v>
      </x:c>
      <x:c r="F245" s="9" t="str">
        <x:v>Flutter</x:v>
      </x:c>
      <x:c r="G245" s="9" t="str">
        <x:v>persona ceiling</x:v>
      </x:c>
      <x:c r="H245" s="9" t="str">
        <x:v>2026-08-06</x:v>
      </x:c>
      <x:c r="I245" s="9" t="str">
        <x:v>PASS</x:v>
      </x:c>
      <x:c r="J245" s="9" t="str">
        <x:v>Post-fix acceptance passed for Task hard deny: 1 exact named test(s) matched and passed on build 1.2.3+156.</x:v>
      </x:c>
      <x:c r="K245" s="9" t="str">
        <x:v>evidence/flutter-test-machine-final-156.ndjson</x:v>
      </x:c>
      <x:c r="L245" s="9" t="str"/>
      <x:c r="M245" s="9" t="str">
        <x:v>Codex</x:v>
      </x:c>
      <x:c r="N245" s="9" t="str">
        <x:v>Flutter: test/features/messenger/tasks_navigation_test.dart :: admin never mounts or requests the Tasks destination</x:v>
      </x:c>
    </x:row>
    <x:row r="246">
      <x:c r="A246" s="9" t="str">
        <x:v>RUN-G-190</x:v>
      </x:c>
      <x:c r="B246" s="9" t="str">
        <x:v>ANA-001</x:v>
      </x:c>
      <x:c r="C246" s="9" t="str">
        <x:v>REGRESSION</x:v>
      </x:c>
      <x:c r="D246" s="9" t="str">
        <x:v>1.2.3+156</x:v>
      </x:c>
      <x:c r="E246" s="9" t="str">
        <x:v>manager/director/system admin</x:v>
      </x:c>
      <x:c r="F246" s="9" t="str">
        <x:v>Flutter</x:v>
      </x:c>
      <x:c r="G246" s="9" t="str">
        <x:v>analytics read</x:v>
      </x:c>
      <x:c r="H246" s="9" t="str">
        <x:v>2026-08-06</x:v>
      </x:c>
      <x:c r="I246" s="9" t="str">
        <x:v>PASS</x:v>
      </x:c>
      <x:c r="J246" s="9" t="str">
        <x:v>Post-fix acceptance passed for Unified dashboard: 1 exact named test(s) matched and passed on build 1.2.3+156.</x:v>
      </x:c>
      <x:c r="K246" s="9" t="str">
        <x:v>evidence/flutter-test-machine-final-156.ndjson</x:v>
      </x:c>
      <x:c r="L246" s="9" t="str"/>
      <x:c r="M246" s="9" t="str">
        <x:v>Codex</x:v>
      </x:c>
      <x:c r="N246" s="9" t="str">
        <x:v>Flutter: test/features/v4/reporting_drilldown_test.dart :: dashboard sections share one normalized filter</x:v>
      </x:c>
    </x:row>
    <x:row r="247">
      <x:c r="A247" s="9" t="str">
        <x:v>RUN-G-191</x:v>
      </x:c>
      <x:c r="B247" s="9" t="str">
        <x:v>ANA-002</x:v>
      </x:c>
      <x:c r="C247" s="9" t="str">
        <x:v>REGRESSION</x:v>
      </x:c>
      <x:c r="D247" s="9" t="str">
        <x:v>1.2.3+156</x:v>
      </x:c>
      <x:c r="E247" s="9" t="str">
        <x:v>dashboard user</x:v>
      </x:c>
      <x:c r="F247" s="9" t="str">
        <x:v>Flutter</x:v>
      </x:c>
      <x:c r="G247" s="9" t="str">
        <x:v>analytics read</x:v>
      </x:c>
      <x:c r="H247" s="9" t="str">
        <x:v>2026-08-06</x:v>
      </x:c>
      <x:c r="I247" s="9" t="str">
        <x:v>PASS</x:v>
      </x:c>
      <x:c r="J247" s="9" t="str">
        <x:v>Post-fix acceptance passed for Period filter: 1 exact named test(s) matched and passed on build 1.2.3+156.</x:v>
      </x:c>
      <x:c r="K247" s="9" t="str">
        <x:v>evidence/flutter-test-machine-final-156.ndjson</x:v>
      </x:c>
      <x:c r="L247" s="9" t="str"/>
      <x:c r="M247" s="9" t="str">
        <x:v>Codex</x:v>
      </x:c>
      <x:c r="N247" s="9" t="str">
        <x:v>Flutter: test/features/v4/reporting_drilldown_test.dart :: dashboard filter restores from workspace and direct-link state</x:v>
      </x:c>
    </x:row>
    <x:row r="248">
      <x:c r="A248" s="9" t="str">
        <x:v>RUN-G-192</x:v>
      </x:c>
      <x:c r="B248" s="9" t="str">
        <x:v>ANA-003</x:v>
      </x:c>
      <x:c r="C248" s="9" t="str">
        <x:v>REGRESSION</x:v>
      </x:c>
      <x:c r="D248" s="9" t="str">
        <x:v>1.2.3+156</x:v>
      </x:c>
      <x:c r="E248" s="9" t="str">
        <x:v>dashboard user</x:v>
      </x:c>
      <x:c r="F248" s="9" t="str">
        <x:v>Server</x:v>
      </x:c>
      <x:c r="G248" s="9" t="str">
        <x:v>assigned branches</x:v>
      </x:c>
      <x:c r="H248" s="9" t="str">
        <x:v>2026-08-06</x:v>
      </x:c>
      <x:c r="I248" s="9" t="str">
        <x:v>PASS</x:v>
      </x:c>
      <x:c r="J248" s="9" t="str">
        <x:v>Post-fix acceptance passed for Branch filter: 1 exact named test(s) matched and passed on build 1.2.3+156.</x:v>
      </x:c>
      <x:c r="K248" s="9" t="str">
        <x:v>evidence/server-test-json-final-156.json</x:v>
      </x:c>
      <x:c r="L248" s="9" t="str"/>
      <x:c r="M248" s="9" t="str">
        <x:v>Codex</x:v>
      </x:c>
      <x:c r="N248" s="9" t="str">
        <x:v>Server: server/src/crm/dashboard.service.spec.ts :: DashboardService returns manager dashboard KPIs with period and branch filters</x:v>
      </x:c>
    </x:row>
    <x:row r="249">
      <x:c r="A249" s="9" t="str">
        <x:v>RUN-G-193</x:v>
      </x:c>
      <x:c r="B249" s="9" t="str">
        <x:v>ANA-004</x:v>
      </x:c>
      <x:c r="C249" s="9" t="str">
        <x:v>REGRESSION</x:v>
      </x:c>
      <x:c r="D249" s="9" t="str">
        <x:v>1.2.3+156</x:v>
      </x:c>
      <x:c r="E249" s="9" t="str">
        <x:v>dashboard user</x:v>
      </x:c>
      <x:c r="F249" s="9" t="str">
        <x:v>Flutter</x:v>
      </x:c>
      <x:c r="G249" s="9" t="str">
        <x:v>analytics read</x:v>
      </x:c>
      <x:c r="H249" s="9" t="str">
        <x:v>2026-08-06</x:v>
      </x:c>
      <x:c r="I249" s="9" t="str">
        <x:v>PASS</x:v>
      </x:c>
      <x:c r="J249" s="9" t="str">
        <x:v>Post-fix acceptance passed for Independent section states: 1 exact named test(s) matched and passed on build 1.2.3+156.</x:v>
      </x:c>
      <x:c r="K249" s="9" t="str">
        <x:v>evidence/flutter-test-machine-final-156.ndjson</x:v>
      </x:c>
      <x:c r="L249" s="9" t="str"/>
      <x:c r="M249" s="9" t="str">
        <x:v>Codex</x:v>
      </x:c>
      <x:c r="N249" s="9" t="str">
        <x:v>Flutter: test/features/v4/reporting_drilldown_test.dart :: one failed section keeps the rest of dashboard usable</x:v>
      </x:c>
    </x:row>
    <x:row r="250">
      <x:c r="A250" s="9" t="str">
        <x:v>RUN-G-194</x:v>
      </x:c>
      <x:c r="B250" s="9" t="str">
        <x:v>ANA-005</x:v>
      </x:c>
      <x:c r="C250" s="9" t="str">
        <x:v>REGRESSION</x:v>
      </x:c>
      <x:c r="D250" s="9" t="str">
        <x:v>1.2.3+156</x:v>
      </x:c>
      <x:c r="E250" s="9" t="str">
        <x:v>dashboard user</x:v>
      </x:c>
      <x:c r="F250" s="9" t="str">
        <x:v>Server</x:v>
      </x:c>
      <x:c r="G250" s="9" t="str">
        <x:v>analytics client scope</x:v>
      </x:c>
      <x:c r="H250" s="9" t="str">
        <x:v>2026-08-06</x:v>
      </x:c>
      <x:c r="I250" s="9" t="str">
        <x:v>PASS</x:v>
      </x:c>
      <x:c r="J250" s="9" t="str">
        <x:v>Post-fix acceptance passed for Client status summary: 1 exact named test(s) matched and passed on build 1.2.3+156.</x:v>
      </x:c>
      <x:c r="K250" s="9" t="str">
        <x:v>evidence/server-test-json-final-156.json</x:v>
      </x:c>
      <x:c r="L250" s="9" t="str"/>
      <x:c r="M250" s="9" t="str">
        <x:v>Codex</x:v>
      </x:c>
      <x:c r="N250" s="9" t="str">
        <x:v>Server: server/src/analytics/client-status-postgres.integration.spec.ts :: ClientStatusReadService (PostgreSQL) uses one scoped filter for summary and drilldown totals</x:v>
      </x:c>
    </x:row>
    <x:row r="251">
      <x:c r="A251" s="9" t="str">
        <x:v>RUN-G-195</x:v>
      </x:c>
      <x:c r="B251" s="9" t="str">
        <x:v>ANA-006</x:v>
      </x:c>
      <x:c r="C251" s="9" t="str">
        <x:v>REGRESSION</x:v>
      </x:c>
      <x:c r="D251" s="9" t="str">
        <x:v>1.2.3+156</x:v>
      </x:c>
      <x:c r="E251" s="9" t="str">
        <x:v>dashboard user</x:v>
      </x:c>
      <x:c r="F251" s="9" t="str">
        <x:v>Server</x:v>
      </x:c>
      <x:c r="G251" s="9" t="str">
        <x:v>analytics client scope</x:v>
      </x:c>
      <x:c r="H251" s="9" t="str">
        <x:v>2026-08-06</x:v>
      </x:c>
      <x:c r="I251" s="9" t="str">
        <x:v>PASS</x:v>
      </x:c>
      <x:c r="J251" s="9" t="str">
        <x:v>Post-fix acceptance passed for Client status drilldown: 1 exact named test(s) matched and passed on build 1.2.3+156.</x:v>
      </x:c>
      <x:c r="K251" s="9" t="str">
        <x:v>evidence/server-test-json-final-156.json</x:v>
      </x:c>
      <x:c r="L251" s="9" t="str"/>
      <x:c r="M251" s="9" t="str">
        <x:v>Codex</x:v>
      </x:c>
      <x:c r="N251" s="9" t="str">
        <x:v>Server: server/src/analytics/client-status-postgres.integration.spec.ts :: ClientStatusReadService (PostgreSQL) uses one scoped filter for summary and drilldown totals</x:v>
      </x:c>
    </x:row>
    <x:row r="252">
      <x:c r="A252" s="9" t="str">
        <x:v>RUN-G-196</x:v>
      </x:c>
      <x:c r="B252" s="9" t="str">
        <x:v>ANA-007</x:v>
      </x:c>
      <x:c r="C252" s="9" t="str">
        <x:v>REGRESSION</x:v>
      </x:c>
      <x:c r="D252" s="9" t="str">
        <x:v>1.2.3+156</x:v>
      </x:c>
      <x:c r="E252" s="9" t="str">
        <x:v>dashboard user</x:v>
      </x:c>
      <x:c r="F252" s="9" t="str">
        <x:v>Server</x:v>
      </x:c>
      <x:c r="G252" s="9" t="str">
        <x:v>analytics schedule scope</x:v>
      </x:c>
      <x:c r="H252" s="9" t="str">
        <x:v>2026-08-06</x:v>
      </x:c>
      <x:c r="I252" s="9" t="str">
        <x:v>PASS</x:v>
      </x:c>
      <x:c r="J252" s="9" t="str">
        <x:v>Post-fix acceptance passed for Lesson success: 1 exact named test(s) matched and passed on build 1.2.3+156.</x:v>
      </x:c>
      <x:c r="K252" s="9" t="str">
        <x:v>evidence/server-test-json-final-156.json</x:v>
      </x:c>
      <x:c r="L252" s="9" t="str"/>
      <x:c r="M252" s="9" t="str">
        <x:v>Codex</x:v>
      </x:c>
      <x:c r="N252" s="9" t="str">
        <x:v>Server: server/src/analytics/v4-reporting-scope-postgres.integration.spec.ts :: ReportingReadService hard scopes (PostgreSQL) derives lesson success only from terminal lifecycle with branch scope</x:v>
      </x:c>
    </x:row>
    <x:row r="253">
      <x:c r="A253" s="9" t="str">
        <x:v>RUN-G-197</x:v>
      </x:c>
      <x:c r="B253" s="9" t="str">
        <x:v>ANA-008</x:v>
      </x:c>
      <x:c r="C253" s="9" t="str">
        <x:v>REGRESSION</x:v>
      </x:c>
      <x:c r="D253" s="9" t="str">
        <x:v>1.2.3+156</x:v>
      </x:c>
      <x:c r="E253" s="9" t="str">
        <x:v>dashboard user</x:v>
      </x:c>
      <x:c r="F253" s="9" t="str">
        <x:v>Flutter</x:v>
      </x:c>
      <x:c r="G253" s="9" t="str">
        <x:v>analytics schedule scope</x:v>
      </x:c>
      <x:c r="H253" s="9" t="str">
        <x:v>2026-08-06</x:v>
      </x:c>
      <x:c r="I253" s="9" t="str">
        <x:v>PASS</x:v>
      </x:c>
      <x:c r="J253" s="9" t="str">
        <x:v>Post-fix acceptance passed for Lesson drilldown: 1 exact named test(s) matched and passed on build 1.2.3+156.</x:v>
      </x:c>
      <x:c r="K253" s="9" t="str">
        <x:v>evidence/flutter-test-machine-final-156.ndjson</x:v>
      </x:c>
      <x:c r="L253" s="9" t="str"/>
      <x:c r="M253" s="9" t="str">
        <x:v>Codex</x:v>
      </x:c>
      <x:c r="N253" s="9" t="str">
        <x:v>Flutter: test/features/v4/reporting_drilldown_test.dart :: lesson KPI opens source lessons with the same predicate</x:v>
      </x:c>
    </x:row>
    <x:row r="254">
      <x:c r="A254" s="9" t="str">
        <x:v>RUN-G-198</x:v>
      </x:c>
      <x:c r="B254" s="9" t="str">
        <x:v>ANA-009</x:v>
      </x:c>
      <x:c r="C254" s="9" t="str">
        <x:v>REGRESSION</x:v>
      </x:c>
      <x:c r="D254" s="9" t="str">
        <x:v>1.2.3+156</x:v>
      </x:c>
      <x:c r="E254" s="9" t="str">
        <x:v>директор/system admin</x:v>
      </x:c>
      <x:c r="F254" s="9" t="str">
        <x:v>Server</x:v>
      </x:c>
      <x:c r="G254" s="9" t="str">
        <x:v>director/system_admin</x:v>
      </x:c>
      <x:c r="H254" s="9" t="str">
        <x:v>2026-08-06</x:v>
      </x:c>
      <x:c r="I254" s="9" t="str">
        <x:v>PASS</x:v>
      </x:c>
      <x:c r="J254" s="9" t="str">
        <x:v>Post-fix acceptance passed for School finance section: 1 exact named test(s) matched and passed on build 1.2.3+156.</x:v>
      </x:c>
      <x:c r="K254" s="9" t="str">
        <x:v>evidence/server-test-json-final-156.json</x:v>
      </x:c>
      <x:c r="L254" s="9" t="str"/>
      <x:c r="M254" s="9" t="str">
        <x:v>Codex</x:v>
      </x:c>
      <x:c r="N254" s="9" t="str">
        <x:v>Server: server/src/analytics/v4-reporting-scope-postgres.integration.spec.ts :: ReportingReadService hard scopes (PostgreSQL) allows school finance only to Director/root and counts ActualPayment only</x:v>
      </x:c>
    </x:row>
    <x:row r="255">
      <x:c r="A255" s="9" t="str">
        <x:v>RUN-G-199</x:v>
      </x:c>
      <x:c r="B255" s="9" t="str">
        <x:v>ANA-010</x:v>
      </x:c>
      <x:c r="C255" s="9" t="str">
        <x:v>REGRESSION</x:v>
      </x:c>
      <x:c r="D255" s="9" t="str">
        <x:v>1.2.3+156</x:v>
      </x:c>
      <x:c r="E255" s="9" t="str">
        <x:v>manager/admin/teacher/client</x:v>
      </x:c>
      <x:c r="F255" s="9" t="str">
        <x:v>Flutter</x:v>
      </x:c>
      <x:c r="G255" s="9" t="str">
        <x:v>hard deny</x:v>
      </x:c>
      <x:c r="H255" s="9" t="str">
        <x:v>2026-08-06</x:v>
      </x:c>
      <x:c r="I255" s="9" t="str">
        <x:v>PASS</x:v>
      </x:c>
      <x:c r="J255" s="9" t="str">
        <x:v>Post-fix acceptance passed for Finance non-request: 1 exact named test(s) matched and passed on build 1.2.3+156.</x:v>
      </x:c>
      <x:c r="K255" s="9" t="str">
        <x:v>evidence/flutter-test-machine-final-156.ndjson</x:v>
      </x:c>
      <x:c r="L255" s="9" t="str"/>
      <x:c r="M255" s="9" t="str">
        <x:v>Codex</x:v>
      </x:c>
      <x:c r="N255" s="9" t="str">
        <x:v>Flutter: test/features/v4/reporting_drilldown_test.dart :: capability snapshot removes finance before providers load</x:v>
      </x:c>
    </x:row>
    <x:row r="256">
      <x:c r="A256" s="9" t="str">
        <x:v>RUN-G-200</x:v>
      </x:c>
      <x:c r="B256" s="9" t="str">
        <x:v>ANA-011</x:v>
      </x:c>
      <x:c r="C256" s="9" t="str">
        <x:v>REGRESSION</x:v>
      </x:c>
      <x:c r="D256" s="9" t="str">
        <x:v>1.2.3+156</x:v>
      </x:c>
      <x:c r="E256" s="9" t="str">
        <x:v>dashboard user</x:v>
      </x:c>
      <x:c r="F256" s="9" t="str">
        <x:v>Server</x:v>
      </x:c>
      <x:c r="G256" s="9" t="str">
        <x:v>task.read</x:v>
      </x:c>
      <x:c r="H256" s="9" t="str">
        <x:v>2026-08-06</x:v>
      </x:c>
      <x:c r="I256" s="9" t="str">
        <x:v>PASS</x:v>
      </x:c>
      <x:c r="J256" s="9" t="str">
        <x:v>Post-fix acceptance passed for Current task queue: 1 exact named test(s) matched and passed on build 1.2.3+156.</x:v>
      </x:c>
      <x:c r="K256" s="9" t="str">
        <x:v>evidence/server-test-json-final-156.json</x:v>
      </x:c>
      <x:c r="L256" s="9" t="str"/>
      <x:c r="M256" s="9" t="str">
        <x:v>Codex</x:v>
      </x:c>
      <x:c r="N256" s="9" t="str">
        <x:v>Server: server/src/crm/tasks/shared-task-postgres.integration.spec.ts :: SharedTask API domain (PostgreSQL) uses the dashboard predicate for the open-task detail</x:v>
      </x:c>
    </x:row>
    <x:row r="257">
      <x:c r="A257" s="9" t="str">
        <x:v>RUN-G-201</x:v>
      </x:c>
      <x:c r="B257" s="9" t="str">
        <x:v>ANA-012</x:v>
      </x:c>
      <x:c r="C257" s="9" t="str">
        <x:v>REGRESSION</x:v>
      </x:c>
      <x:c r="D257" s="9" t="str">
        <x:v>1.2.3+156</x:v>
      </x:c>
      <x:c r="E257" s="9" t="str">
        <x:v>dashboard user</x:v>
      </x:c>
      <x:c r="F257" s="9" t="str">
        <x:v>Server</x:v>
      </x:c>
      <x:c r="G257" s="9" t="str">
        <x:v>analytics read</x:v>
      </x:c>
      <x:c r="H257" s="9" t="str">
        <x:v>2026-08-06</x:v>
      </x:c>
      <x:c r="I257" s="9" t="str">
        <x:v>PASS</x:v>
      </x:c>
      <x:c r="J257" s="9" t="str">
        <x:v>Post-fix acceptance passed for Sources and funnel: 1 exact named test(s) matched and passed on build 1.2.3+156.</x:v>
      </x:c>
      <x:c r="K257" s="9" t="str">
        <x:v>evidence/server-test-json-final-156.json</x:v>
      </x:c>
      <x:c r="L257" s="9" t="str"/>
      <x:c r="M257" s="9" t="str">
        <x:v>Codex</x:v>
      </x:c>
      <x:c r="N257" s="9" t="str">
        <x:v>Server: server/src/analytics/analytics.service.spec.ts :: AnalyticsService funnel returns stage counts ordered by sort_order, gated to manager/admin</x:v>
      </x:c>
    </x:row>
    <x:row r="258">
      <x:c r="A258" s="9" t="str">
        <x:v>RUN-G-202</x:v>
      </x:c>
      <x:c r="B258" s="9" t="str">
        <x:v>ANA-013</x:v>
      </x:c>
      <x:c r="C258" s="9" t="str">
        <x:v>REGRESSION</x:v>
      </x:c>
      <x:c r="D258" s="9" t="str">
        <x:v>1.2.3+156</x:v>
      </x:c>
      <x:c r="E258" s="9" t="str">
        <x:v>разрешённый dashboard user</x:v>
      </x:c>
      <x:c r="F258" s="9" t="str">
        <x:v>Flutter + Server</x:v>
      </x:c>
      <x:c r="G258" s="9" t="str">
        <x:v>metric-specific capability</x:v>
      </x:c>
      <x:c r="H258" s="9" t="str">
        <x:v>2026-08-06</x:v>
      </x:c>
      <x:c r="I258" s="9" t="str">
        <x:v>PASS</x:v>
      </x:c>
      <x:c r="J258" s="9" t="str">
        <x:v>Post-fix acceptance passed for Loss/debt/forecast/churn: 4 exact named test(s) matched and passed on build 1.2.3+156.</x:v>
      </x:c>
      <x:c r="K258" s="9" t="str">
        <x:v>evidence/flutter-test-machine-final-156.ndjson; evidence/server-test-json-final-156.json</x:v>
      </x:c>
      <x:c r="L258" s="9" t="str"/>
      <x:c r="M258" s="9" t="str">
        <x:v>Codex</x:v>
      </x:c>
      <x:c r="N258" s="9" t="str">
        <x:v>Server: server/src/analytics/analytics.service.spec.ts :: AnalyticsService debts buckets overdue payments in fixed order with zero-fill, gated to manager/admin
Server: server/src/analytics/analytics.service.spec.ts :: AnalyticsService churnRisk lists active students with no recent completed lesson, gated
Server: server/src/analytics/analytics.service.spec.ts :: AnalyticsService lossReasons groups terminal-transition reasons, gated to manager/admin
Flutter: test/core/services/magic_crm_service_test.dart :: MagicCrmService getAnalyticsForecast requests /analytics/forecast</x:v>
      </x:c>
    </x:row>
    <x:row r="259">
      <x:c r="A259" s="9" t="str">
        <x:v>RUN-G-203</x:v>
      </x:c>
      <x:c r="B259" s="9" t="str">
        <x:v>ANA-014</x:v>
      </x:c>
      <x:c r="C259" s="9" t="str">
        <x:v>REGRESSION</x:v>
      </x:c>
      <x:c r="D259" s="9" t="str">
        <x:v>1.2.3+156</x:v>
      </x:c>
      <x:c r="E259" s="9" t="str">
        <x:v>разрешённый dashboard user</x:v>
      </x:c>
      <x:c r="F259" s="9" t="str">
        <x:v>Flutter</x:v>
      </x:c>
      <x:c r="G259" s="9" t="str">
        <x:v>analytics operational</x:v>
      </x:c>
      <x:c r="H259" s="9" t="str">
        <x:v>2026-08-06</x:v>
      </x:c>
      <x:c r="I259" s="9" t="str">
        <x:v>PASS</x:v>
      </x:c>
      <x:c r="J259" s="9" t="str">
        <x:v>Post-fix acceptance passed for Chat SLA: 1 exact named test(s) matched and passed on build 1.2.3+156.</x:v>
      </x:c>
      <x:c r="K259" s="9" t="str">
        <x:v>evidence/flutter-test-machine-final-156.ndjson</x:v>
      </x:c>
      <x:c r="L259" s="9" t="str"/>
      <x:c r="M259" s="9" t="str">
        <x:v>Codex</x:v>
      </x:c>
      <x:c r="N259" s="9" t="str">
        <x:v>Flutter: test/core/services/magic_crm_service_test.dart :: MagicCrmService getAnalyticsChatSla requests /analytics/chats/sla</x:v>
      </x:c>
    </x:row>
    <x:row r="260">
      <x:c r="A260" s="9" t="str">
        <x:v>RUN-G-204</x:v>
      </x:c>
      <x:c r="B260" s="9" t="str">
        <x:v>ANA-015</x:v>
      </x:c>
      <x:c r="C260" s="9" t="str">
        <x:v>REGRESSION</x:v>
      </x:c>
      <x:c r="D260" s="9" t="str">
        <x:v>1.2.3+156</x:v>
      </x:c>
      <x:c r="E260" s="9" t="str">
        <x:v>директор/system admin</x:v>
      </x:c>
      <x:c r="F260" s="9" t="str">
        <x:v>Server</x:v>
      </x:c>
      <x:c r="G260" s="9" t="str">
        <x:v>data quality capability</x:v>
      </x:c>
      <x:c r="H260" s="9" t="str">
        <x:v>2026-08-06</x:v>
      </x:c>
      <x:c r="I260" s="9" t="str">
        <x:v>PASS</x:v>
      </x:c>
      <x:c r="J260" s="9" t="str">
        <x:v>Post-fix acceptance passed for Data quality: 1 exact named test(s) matched and passed on build 1.2.3+156.</x:v>
      </x:c>
      <x:c r="K260" s="9" t="str">
        <x:v>evidence/server-test-json-final-156.json</x:v>
      </x:c>
      <x:c r="L260" s="9" t="str"/>
      <x:c r="M260" s="9" t="str">
        <x:v>Codex</x:v>
      </x:c>
      <x:c r="N260" s="9" t="str">
        <x:v>Server: server/src/analytics/analytics.service.spec.ts :: AnalyticsService dataQuality counts leads/students missing phone/branch/discipline, gated</x:v>
      </x:c>
    </x:row>
    <x:row r="261">
      <x:c r="A261" s="9" t="str">
        <x:v>RUN-G-205</x:v>
      </x:c>
      <x:c r="B261" s="9" t="str">
        <x:v>ANA-016</x:v>
      </x:c>
      <x:c r="C261" s="9" t="str">
        <x:v>REGRESSION</x:v>
      </x:c>
      <x:c r="D261" s="9" t="str">
        <x:v>1.2.3+156</x:v>
      </x:c>
      <x:c r="E261" s="9" t="str">
        <x:v>разрешённый dashboard user</x:v>
      </x:c>
      <x:c r="F261" s="9" t="str">
        <x:v>Server</x:v>
      </x:c>
      <x:c r="G261" s="9" t="str">
        <x:v>analytics export</x:v>
      </x:c>
      <x:c r="H261" s="9" t="str">
        <x:v>2026-08-06</x:v>
      </x:c>
      <x:c r="I261" s="9" t="str">
        <x:v>PASS</x:v>
      </x:c>
      <x:c r="J261" s="9" t="str">
        <x:v>Post-fix acceptance passed for Request export: 1 exact named test(s) matched and passed on build 1.2.3+156.</x:v>
      </x:c>
      <x:c r="K261" s="9" t="str">
        <x:v>evidence/server-test-json-final-156.json</x:v>
      </x:c>
      <x:c r="L261" s="9" t="str"/>
      <x:c r="M261" s="9" t="str">
        <x:v>Codex</x:v>
      </x:c>
      <x:c r="N261" s="9" t="str">
        <x:v>Server: server/src/analytics/ooxml-export.integration.spec.ts :: v4 OOXML export enforces sync/async/maximum row contracts</x:v>
      </x:c>
    </x:row>
    <x:row r="262">
      <x:c r="A262" s="9" t="str">
        <x:v>RUN-G-206</x:v>
      </x:c>
      <x:c r="B262" s="9" t="str">
        <x:v>ANA-017</x:v>
      </x:c>
      <x:c r="C262" s="9" t="str">
        <x:v>REGRESSION</x:v>
      </x:c>
      <x:c r="D262" s="9" t="str">
        <x:v>1.2.3+156</x:v>
      </x:c>
      <x:c r="E262" s="9" t="str">
        <x:v>разрешённый dashboard user</x:v>
      </x:c>
      <x:c r="F262" s="9" t="str">
        <x:v>Flutter</x:v>
      </x:c>
      <x:c r="G262" s="9" t="str">
        <x:v>analytics export</x:v>
      </x:c>
      <x:c r="H262" s="9" t="str">
        <x:v>2026-08-06</x:v>
      </x:c>
      <x:c r="I262" s="9" t="str">
        <x:v>PASS</x:v>
      </x:c>
      <x:c r="J262" s="9" t="str">
        <x:v>Post-fix acceptance passed for Download export: 1 exact named test(s) matched and passed on build 1.2.3+156.</x:v>
      </x:c>
      <x:c r="K262" s="9" t="str">
        <x:v>evidence/flutter-test-machine-final-156.ndjson</x:v>
      </x:c>
      <x:c r="L262" s="9" t="str"/>
      <x:c r="M262" s="9" t="str">
        <x:v>Codex</x:v>
      </x:c>
      <x:c r="N262" s="9" t="str">
        <x:v>Flutter: test/features/v4/reporting_drilldown_test.dart :: director sees finance and completes private async download</x:v>
      </x:c>
    </x:row>
    <x:row r="263">
      <x:c r="A263" s="9" t="str">
        <x:v>RUN-G-207</x:v>
      </x:c>
      <x:c r="B263" s="9" t="str">
        <x:v>CFG-001</x:v>
      </x:c>
      <x:c r="C263" s="9" t="str">
        <x:v>REGRESSION</x:v>
      </x:c>
      <x:c r="D263" s="9" t="str">
        <x:v>1.2.3+156</x:v>
      </x:c>
      <x:c r="E263" s="9" t="str">
        <x:v>разрешённый staff</x:v>
      </x:c>
      <x:c r="F263" s="9" t="str">
        <x:v>Flutter</x:v>
      </x:c>
      <x:c r="G263" s="9" t="str">
        <x:v>settings read</x:v>
      </x:c>
      <x:c r="H263" s="9" t="str">
        <x:v>2026-08-06</x:v>
      </x:c>
      <x:c r="I263" s="9" t="str">
        <x:v>PASS</x:v>
      </x:c>
      <x:c r="J263" s="9" t="str">
        <x:v>Post-fix acceptance passed for Settings navigation: 1 exact named test(s) matched and passed on build 1.2.3+156.</x:v>
      </x:c>
      <x:c r="K263" s="9" t="str">
        <x:v>evidence/flutter-test-machine-final-156.ndjson</x:v>
      </x:c>
      <x:c r="L263" s="9" t="str"/>
      <x:c r="M263" s="9" t="str">
        <x:v>Codex</x:v>
      </x:c>
      <x:c r="N263" s="9" t="str">
        <x:v>Flutter: test/features/v6/system_settings_workspace_test.dart :: manager sees one six-area settings workspace read-only</x:v>
      </x:c>
    </x:row>
    <x:row r="264">
      <x:c r="A264" s="9" t="str">
        <x:v>RUN-G-208</x:v>
      </x:c>
      <x:c r="B264" s="9" t="str">
        <x:v>CFG-002</x:v>
      </x:c>
      <x:c r="C264" s="9" t="str">
        <x:v>REGRESSION</x:v>
      </x:c>
      <x:c r="D264" s="9" t="str">
        <x:v>1.2.3+156</x:v>
      </x:c>
      <x:c r="E264" s="9" t="str">
        <x:v>settings reader</x:v>
      </x:c>
      <x:c r="F264" s="9" t="str">
        <x:v>Server</x:v>
      </x:c>
      <x:c r="G264" s="9" t="str">
        <x:v>organization read</x:v>
      </x:c>
      <x:c r="H264" s="9" t="str">
        <x:v>2026-08-06</x:v>
      </x:c>
      <x:c r="I264" s="9" t="str">
        <x:v>PASS</x:v>
      </x:c>
      <x:c r="J264" s="9" t="str">
        <x:v>Post-fix acceptance passed for Branch list/search: 1 exact named test(s) matched and passed on build 1.2.3+156.</x:v>
      </x:c>
      <x:c r="K264" s="9" t="str">
        <x:v>evidence/server-test-json-final-156.json</x:v>
      </x:c>
      <x:c r="L264" s="9" t="str"/>
      <x:c r="M264" s="9" t="str">
        <x:v>Codex</x:v>
      </x:c>
      <x:c r="N264" s="9" t="str">
        <x:v>Server: server/src/crm/branches.service.spec.ts :: BranchesService lists branches through operational-data policy</x:v>
      </x:c>
    </x:row>
    <x:row r="265">
      <x:c r="A265" s="9" t="str">
        <x:v>RUN-G-209</x:v>
      </x:c>
      <x:c r="B265" s="9" t="str">
        <x:v>CFG-003</x:v>
      </x:c>
      <x:c r="C265" s="9" t="str">
        <x:v>REGRESSION</x:v>
      </x:c>
      <x:c r="D265" s="9" t="str">
        <x:v>1.2.3+156</x:v>
      </x:c>
      <x:c r="E265" s="9" t="str">
        <x:v>директор/system admin</x:v>
      </x:c>
      <x:c r="F265" s="9" t="str">
        <x:v>Server</x:v>
      </x:c>
      <x:c r="G265" s="9" t="str">
        <x:v>organization write</x:v>
      </x:c>
      <x:c r="H265" s="9" t="str">
        <x:v>2026-08-06</x:v>
      </x:c>
      <x:c r="I265" s="9" t="str">
        <x:v>PASS</x:v>
      </x:c>
      <x:c r="J265" s="9" t="str">
        <x:v>Post-fix acceptance passed for Create branch: 1 exact named test(s) matched and passed on build 1.2.3+156.</x:v>
      </x:c>
      <x:c r="K265" s="9" t="str">
        <x:v>evidence/server-test-json-final-156.json</x:v>
      </x:c>
      <x:c r="L265" s="9" t="str"/>
      <x:c r="M265" s="9" t="str">
        <x:v>Codex</x:v>
      </x:c>
      <x:c r="N265" s="9" t="str">
        <x:v>Server: server/src/crm/branches.service.spec.ts :: BranchesService creates a branch through CRM write policy and audit</x:v>
      </x:c>
    </x:row>
    <x:row r="266">
      <x:c r="A266" s="9" t="str">
        <x:v>RUN-G-210</x:v>
      </x:c>
      <x:c r="B266" s="9" t="str">
        <x:v>CFG-004</x:v>
      </x:c>
      <x:c r="C266" s="9" t="str">
        <x:v>REGRESSION</x:v>
      </x:c>
      <x:c r="D266" s="9" t="str">
        <x:v>1.2.3+156</x:v>
      </x:c>
      <x:c r="E266" s="9" t="str">
        <x:v>разрешённый config actor</x:v>
      </x:c>
      <x:c r="F266" s="9" t="str">
        <x:v>Server</x:v>
      </x:c>
      <x:c r="G266" s="9" t="str">
        <x:v>organization write/delegation</x:v>
      </x:c>
      <x:c r="H266" s="9" t="str">
        <x:v>2026-08-06</x:v>
      </x:c>
      <x:c r="I266" s="9" t="str">
        <x:v>PASS</x:v>
      </x:c>
      <x:c r="J266" s="9" t="str">
        <x:v>Post-fix acceptance passed for Edit branch: 1 exact named test(s) matched and passed on build 1.2.3+156.</x:v>
      </x:c>
      <x:c r="K266" s="9" t="str">
        <x:v>evidence/server-test-json-final-156.json</x:v>
      </x:c>
      <x:c r="L266" s="9" t="str"/>
      <x:c r="M266" s="9" t="str">
        <x:v>Codex</x:v>
      </x:c>
      <x:c r="N266" s="9" t="str">
        <x:v>Server: server/src/crm/branches.service.spec.ts :: BranchesService updates a branch's utc offset and returns the dto</x:v>
      </x:c>
    </x:row>
    <x:row r="267">
      <x:c r="A267" s="9" t="str">
        <x:v>RUN-G-211</x:v>
      </x:c>
      <x:c r="B267" s="9" t="str">
        <x:v>CFG-005</x:v>
      </x:c>
      <x:c r="C267" s="9" t="str">
        <x:v>REGRESSION</x:v>
      </x:c>
      <x:c r="D267" s="9" t="str">
        <x:v>1.2.3+156</x:v>
      </x:c>
      <x:c r="E267" s="9" t="str">
        <x:v>settings/schedule user</x:v>
      </x:c>
      <x:c r="F267" s="9" t="str">
        <x:v>Server</x:v>
      </x:c>
      <x:c r="G267" s="9" t="str">
        <x:v>facility read</x:v>
      </x:c>
      <x:c r="H267" s="9" t="str">
        <x:v>2026-08-06</x:v>
      </x:c>
      <x:c r="I267" s="9" t="str">
        <x:v>PASS</x:v>
      </x:c>
      <x:c r="J267" s="9" t="str">
        <x:v>Post-fix acceptance passed for Room list/availability: 1 exact named test(s) matched and passed on build 1.2.3+156.</x:v>
      </x:c>
      <x:c r="K267" s="9" t="str">
        <x:v>evidence/server-test-json-final-156.json</x:v>
      </x:c>
      <x:c r="L267" s="9" t="str"/>
      <x:c r="M267" s="9" t="str">
        <x:v>Codex</x:v>
      </x:c>
      <x:c r="N267" s="9" t="str">
        <x:v>Server: server/src/crm/rooms.service.spec.ts :: RoomsService returns room availability with slot conflicts</x:v>
      </x:c>
    </x:row>
    <x:row r="268">
      <x:c r="A268" s="9" t="str">
        <x:v>RUN-G-212</x:v>
      </x:c>
      <x:c r="B268" s="9" t="str">
        <x:v>CFG-006</x:v>
      </x:c>
      <x:c r="C268" s="9" t="str">
        <x:v>REGRESSION</x:v>
      </x:c>
      <x:c r="D268" s="9" t="str">
        <x:v>1.2.3+156</x:v>
      </x:c>
      <x:c r="E268" s="9" t="str">
        <x:v>разрешённый config actor</x:v>
      </x:c>
      <x:c r="F268" s="9" t="str">
        <x:v>Server</x:v>
      </x:c>
      <x:c r="G268" s="9" t="str">
        <x:v>facility write</x:v>
      </x:c>
      <x:c r="H268" s="9" t="str">
        <x:v>2026-08-06</x:v>
      </x:c>
      <x:c r="I268" s="9" t="str">
        <x:v>PASS</x:v>
      </x:c>
      <x:c r="J268" s="9" t="str">
        <x:v>Post-fix acceptance passed for Create room: 1 exact named test(s) matched and passed on build 1.2.3+156.</x:v>
      </x:c>
      <x:c r="K268" s="9" t="str">
        <x:v>evidence/server-test-json-final-156.json</x:v>
      </x:c>
      <x:c r="L268" s="9" t="str"/>
      <x:c r="M268" s="9" t="str">
        <x:v>Codex</x:v>
      </x:c>
      <x:c r="N268" s="9" t="str">
        <x:v>Server: server/src/crm/rooms.service.spec.ts :: RoomsService creates rooms through CRM write policy and audit</x:v>
      </x:c>
    </x:row>
    <x:row r="269">
      <x:c r="A269" s="9" t="str">
        <x:v>RUN-G-213</x:v>
      </x:c>
      <x:c r="B269" s="9" t="str">
        <x:v>CFG-007</x:v>
      </x:c>
      <x:c r="C269" s="9" t="str">
        <x:v>REGRESSION</x:v>
      </x:c>
      <x:c r="D269" s="9" t="str">
        <x:v>1.2.3+156</x:v>
      </x:c>
      <x:c r="E269" s="9" t="str">
        <x:v>разрешённый config actor</x:v>
      </x:c>
      <x:c r="F269" s="9" t="str">
        <x:v>Server</x:v>
      </x:c>
      <x:c r="G269" s="9" t="str">
        <x:v>facility write</x:v>
      </x:c>
      <x:c r="H269" s="9" t="str">
        <x:v>2026-08-06</x:v>
      </x:c>
      <x:c r="I269" s="9" t="str">
        <x:v>PASS</x:v>
      </x:c>
      <x:c r="J269" s="9" t="str">
        <x:v>Post-fix acceptance passed for Edit room: 1 exact named test(s) matched and passed on build 1.2.3+156.</x:v>
      </x:c>
      <x:c r="K269" s="9" t="str">
        <x:v>evidence/server-test-json-final-156.json</x:v>
      </x:c>
      <x:c r="L269" s="9" t="str"/>
      <x:c r="M269" s="9" t="str">
        <x:v>Codex</x:v>
      </x:c>
      <x:c r="N269" s="9" t="str">
        <x:v>Server: server/src/crm/rooms.service.spec.ts :: RoomsService updates and soft-deletes rooms through CRM write policy</x:v>
      </x:c>
    </x:row>
    <x:row r="270">
      <x:c r="A270" s="9" t="str">
        <x:v>RUN-G-214</x:v>
      </x:c>
      <x:c r="B270" s="9" t="str">
        <x:v>CFG-008</x:v>
      </x:c>
      <x:c r="C270" s="9" t="str">
        <x:v>REGRESSION</x:v>
      </x:c>
      <x:c r="D270" s="9" t="str">
        <x:v>1.2.3+156</x:v>
      </x:c>
      <x:c r="E270" s="9" t="str">
        <x:v>разрешённый config actor</x:v>
      </x:c>
      <x:c r="F270" s="9" t="str">
        <x:v>Server</x:v>
      </x:c>
      <x:c r="G270" s="9" t="str">
        <x:v>facility write</x:v>
      </x:c>
      <x:c r="H270" s="9" t="str">
        <x:v>2026-08-06</x:v>
      </x:c>
      <x:c r="I270" s="9" t="str">
        <x:v>PASS</x:v>
      </x:c>
      <x:c r="J270" s="9" t="str">
        <x:v>Post-fix acceptance passed for Delete room: 1 exact named test(s) matched and passed on build 1.2.3+156.</x:v>
      </x:c>
      <x:c r="K270" s="9" t="str">
        <x:v>evidence/server-test-json-final-156.json</x:v>
      </x:c>
      <x:c r="L270" s="9" t="str"/>
      <x:c r="M270" s="9" t="str">
        <x:v>Codex</x:v>
      </x:c>
      <x:c r="N270" s="9" t="str">
        <x:v>Server: server/src/crm/rooms.service.spec.ts :: RoomsService updates and soft-deletes rooms through CRM write policy</x:v>
      </x:c>
    </x:row>
    <x:row r="271">
      <x:c r="A271" s="9" t="str">
        <x:v>RUN-G-215</x:v>
      </x:c>
      <x:c r="B271" s="9" t="str">
        <x:v>CFG-009</x:v>
      </x:c>
      <x:c r="C271" s="9" t="str">
        <x:v>REGRESSION</x:v>
      </x:c>
      <x:c r="D271" s="9" t="str">
        <x:v>1.2.3+156</x:v>
      </x:c>
      <x:c r="E271" s="9" t="str">
        <x:v>settings reader</x:v>
      </x:c>
      <x:c r="F271" s="9" t="str">
        <x:v>Flutter</x:v>
      </x:c>
      <x:c r="G271" s="9" t="str">
        <x:v>group read</x:v>
      </x:c>
      <x:c r="H271" s="9" t="str">
        <x:v>2026-08-06</x:v>
      </x:c>
      <x:c r="I271" s="9" t="str">
        <x:v>PASS</x:v>
      </x:c>
      <x:c r="J271" s="9" t="str">
        <x:v>Post-fix acceptance passed for Group list: 1 exact named test(s) matched and passed on build 1.2.3+156.</x:v>
      </x:c>
      <x:c r="K271" s="9" t="str">
        <x:v>evidence/flutter-test-machine-final-156.ndjson</x:v>
      </x:c>
      <x:c r="L271" s="9" t="str"/>
      <x:c r="M271" s="9" t="str">
        <x:v>Codex</x:v>
      </x:c>
      <x:c r="N271" s="9" t="str">
        <x:v>Flutter: test/features/v6/system_settings_workspace_test.dart :: settings lists localized staff status and group size</x:v>
      </x:c>
    </x:row>
    <x:row r="272">
      <x:c r="A272" s="9" t="str">
        <x:v>RUN-G-216</x:v>
      </x:c>
      <x:c r="B272" s="9" t="str">
        <x:v>CFG-010</x:v>
      </x:c>
      <x:c r="C272" s="9" t="str">
        <x:v>REGRESSION</x:v>
      </x:c>
      <x:c r="D272" s="9" t="str">
        <x:v>1.2.3+156</x:v>
      </x:c>
      <x:c r="E272" s="9" t="str">
        <x:v>разрешённый staff</x:v>
      </x:c>
      <x:c r="F272" s="9" t="str">
        <x:v>Flutter</x:v>
      </x:c>
      <x:c r="G272" s="9" t="str">
        <x:v>group write</x:v>
      </x:c>
      <x:c r="H272" s="9" t="str">
        <x:v>2026-08-06</x:v>
      </x:c>
      <x:c r="I272" s="9" t="str">
        <x:v>PASS</x:v>
      </x:c>
      <x:c r="J272" s="9" t="str">
        <x:v>Post-fix acceptance passed for Create/edit group: 1 exact named test(s) matched and passed on build 1.2.3+156.</x:v>
      </x:c>
      <x:c r="K272" s="9" t="str">
        <x:v>evidence/flutter-test-machine-final-156.ndjson</x:v>
      </x:c>
      <x:c r="L272" s="9" t="str"/>
      <x:c r="M272" s="9" t="str">
        <x:v>Codex</x:v>
      </x:c>
      <x:c r="N272" s="9" t="str">
        <x:v>Flutter: test/core/services/magic_crm_service_test.dart :: MagicCrmService creates groups and manages group students through v3 API</x:v>
      </x:c>
    </x:row>
    <x:row r="273">
      <x:c r="A273" s="9" t="str">
        <x:v>RUN-G-217</x:v>
      </x:c>
      <x:c r="B273" s="9" t="str">
        <x:v>CFG-011</x:v>
      </x:c>
      <x:c r="C273" s="9" t="str">
        <x:v>REGRESSION</x:v>
      </x:c>
      <x:c r="D273" s="9" t="str">
        <x:v>1.2.3+156</x:v>
      </x:c>
      <x:c r="E273" s="9" t="str">
        <x:v>разрешённый staff</x:v>
      </x:c>
      <x:c r="F273" s="9" t="str">
        <x:v>Flutter</x:v>
      </x:c>
      <x:c r="G273" s="9" t="str">
        <x:v>group write + client scope</x:v>
      </x:c>
      <x:c r="H273" s="9" t="str">
        <x:v>2026-08-06</x:v>
      </x:c>
      <x:c r="I273" s="9" t="str">
        <x:v>PASS</x:v>
      </x:c>
      <x:c r="J273" s="9" t="str">
        <x:v>Post-fix acceptance passed for Group membership: 1 exact named test(s) matched and passed on build 1.2.3+156.</x:v>
      </x:c>
      <x:c r="K273" s="9" t="str">
        <x:v>evidence/flutter-test-machine-final-156.ndjson</x:v>
      </x:c>
      <x:c r="L273" s="9" t="str"/>
      <x:c r="M273" s="9" t="str">
        <x:v>Codex</x:v>
      </x:c>
      <x:c r="N273" s="9" t="str">
        <x:v>Flutter: test/core/services/magic_crm_service_test.dart :: MagicCrmService creates groups and manages group students through v3 API</x:v>
      </x:c>
    </x:row>
    <x:row r="274">
      <x:c r="A274" s="9" t="str">
        <x:v>RUN-G-218</x:v>
      </x:c>
      <x:c r="B274" s="9" t="str">
        <x:v>CFG-012</x:v>
      </x:c>
      <x:c r="C274" s="9" t="str">
        <x:v>REGRESSION</x:v>
      </x:c>
      <x:c r="D274" s="9" t="str">
        <x:v>1.2.3+156</x:v>
      </x:c>
      <x:c r="E274" s="9" t="str">
        <x:v>config reader</x:v>
      </x:c>
      <x:c r="F274" s="9" t="str">
        <x:v>Server</x:v>
      </x:c>
      <x:c r="G274" s="9" t="str">
        <x:v>config.crm.read</x:v>
      </x:c>
      <x:c r="H274" s="9" t="str">
        <x:v>2026-08-06</x:v>
      </x:c>
      <x:c r="I274" s="9" t="str">
        <x:v>PASS</x:v>
      </x:c>
      <x:c r="J274" s="9" t="str">
        <x:v>Post-fix acceptance passed for Effective CRM config: 1 exact named test(s) matched and passed on build 1.2.3+156.</x:v>
      </x:c>
      <x:c r="K274" s="9" t="str">
        <x:v>evidence/server-test-json-final-156.json</x:v>
      </x:c>
      <x:c r="L274" s="9" t="str"/>
      <x:c r="M274" s="9" t="str">
        <x:v>Codex</x:v>
      </x:c>
      <x:c r="N274" s="9" t="str">
        <x:v>Server: server/src/crm/student-funnel-postgres.integration.spec.ts :: Student funnel effective configuration (PostgreSQL) publishes school defaults and a sparse branch override</x:v>
      </x:c>
    </x:row>
    <x:row r="275">
      <x:c r="A275" s="9" t="str">
        <x:v>RUN-G-219</x:v>
      </x:c>
      <x:c r="B275" s="9" t="str">
        <x:v>CFG-013</x:v>
      </x:c>
      <x:c r="C275" s="9" t="str">
        <x:v>REGRESSION</x:v>
      </x:c>
      <x:c r="D275" s="9" t="str">
        <x:v>1.2.3+156</x:v>
      </x:c>
      <x:c r="E275" s="9" t="str">
        <x:v>config editor</x:v>
      </x:c>
      <x:c r="F275" s="9" t="str">
        <x:v>Flutter</x:v>
      </x:c>
      <x:c r="G275" s="9" t="str">
        <x:v>config.crm.edit</x:v>
      </x:c>
      <x:c r="H275" s="9" t="str">
        <x:v>2026-08-06</x:v>
      </x:c>
      <x:c r="I275" s="9" t="str">
        <x:v>PASS</x:v>
      </x:c>
      <x:c r="J275" s="9" t="str">
        <x:v>Post-fix acceptance passed for CRM draft: 1 exact named test(s) matched and passed on build 1.2.3+156.</x:v>
      </x:c>
      <x:c r="K275" s="9" t="str">
        <x:v>evidence/flutter-test-machine-final-156.ndjson</x:v>
      </x:c>
      <x:c r="L275" s="9" t="str"/>
      <x:c r="M275" s="9" t="str">
        <x:v>Codex</x:v>
      </x:c>
      <x:c r="N275" s="9" t="str">
        <x:v>Flutter: test/features/v6/crm_configuration_workspace_test.dart :: director edits a draft and publishes through impact preview</x:v>
      </x:c>
    </x:row>
    <x:row r="276">
      <x:c r="A276" s="9" t="str">
        <x:v>RUN-G-220</x:v>
      </x:c>
      <x:c r="B276" s="9" t="str">
        <x:v>CFG-014</x:v>
      </x:c>
      <x:c r="C276" s="9" t="str">
        <x:v>REGRESSION</x:v>
      </x:c>
      <x:c r="D276" s="9" t="str">
        <x:v>1.2.3+156</x:v>
      </x:c>
      <x:c r="E276" s="9" t="str">
        <x:v>config editor</x:v>
      </x:c>
      <x:c r="F276" s="9" t="str">
        <x:v>Server</x:v>
      </x:c>
      <x:c r="G276" s="9" t="str">
        <x:v>config.crm.edit</x:v>
      </x:c>
      <x:c r="H276" s="9" t="str">
        <x:v>2026-08-06</x:v>
      </x:c>
      <x:c r="I276" s="9" t="str">
        <x:v>PASS</x:v>
      </x:c>
      <x:c r="J276" s="9" t="str">
        <x:v>Post-fix acceptance passed for Lead fields: 1 exact named test(s) matched and passed on build 1.2.3+156.</x:v>
      </x:c>
      <x:c r="K276" s="9" t="str">
        <x:v>evidence/server-test-json-final-156.json</x:v>
      </x:c>
      <x:c r="L276" s="9" t="str"/>
      <x:c r="M276" s="9" t="str">
        <x:v>Codex</x:v>
      </x:c>
      <x:c r="N276" s="9" t="str">
        <x:v>Server: server/src/crm/clients/client-config-postgres.integration.spec.ts :: Client configuration and strict validators (PostgreSQL) keeps system required fields locked</x:v>
      </x:c>
    </x:row>
    <x:row r="277">
      <x:c r="A277" s="9" t="str">
        <x:v>RUN-G-221</x:v>
      </x:c>
      <x:c r="B277" s="9" t="str">
        <x:v>CFG-015</x:v>
      </x:c>
      <x:c r="C277" s="9" t="str">
        <x:v>REGRESSION</x:v>
      </x:c>
      <x:c r="D277" s="9" t="str">
        <x:v>1.2.3+156</x:v>
      </x:c>
      <x:c r="E277" s="9" t="str">
        <x:v>config editor</x:v>
      </x:c>
      <x:c r="F277" s="9" t="str">
        <x:v>Server</x:v>
      </x:c>
      <x:c r="G277" s="9" t="str">
        <x:v>config.crm.edit</x:v>
      </x:c>
      <x:c r="H277" s="9" t="str">
        <x:v>2026-08-06</x:v>
      </x:c>
      <x:c r="I277" s="9" t="str">
        <x:v>PASS</x:v>
      </x:c>
      <x:c r="J277" s="9" t="str">
        <x:v>Post-fix acceptance passed for Student fields: 1 exact named test(s) matched and passed on build 1.2.3+156.</x:v>
      </x:c>
      <x:c r="K277" s="9" t="str">
        <x:v>evidence/server-test-json-final-156.json</x:v>
      </x:c>
      <x:c r="L277" s="9" t="str"/>
      <x:c r="M277" s="9" t="str">
        <x:v>Codex</x:v>
      </x:c>
      <x:c r="N277" s="9" t="str">
        <x:v>Server: server/src/crm/clients/client-config-postgres.integration.spec.ts :: Client configuration and strict validators (PostgreSQL) normalizes valid phones and validates the Student required minimum</x:v>
      </x:c>
    </x:row>
    <x:row r="278">
      <x:c r="A278" s="9" t="str">
        <x:v>RUN-G-222</x:v>
      </x:c>
      <x:c r="B278" s="9" t="str">
        <x:v>CFG-016</x:v>
      </x:c>
      <x:c r="C278" s="9" t="str">
        <x:v>REGRESSION</x:v>
      </x:c>
      <x:c r="D278" s="9" t="str">
        <x:v>1.2.3+156</x:v>
      </x:c>
      <x:c r="E278" s="9" t="str">
        <x:v>config editor</x:v>
      </x:c>
      <x:c r="F278" s="9" t="str">
        <x:v>Flutter</x:v>
      </x:c>
      <x:c r="G278" s="9" t="str">
        <x:v>config.crm.edit</x:v>
      </x:c>
      <x:c r="H278" s="9" t="str">
        <x:v>2026-08-06</x:v>
      </x:c>
      <x:c r="I278" s="9" t="str">
        <x:v>PASS</x:v>
      </x:c>
      <x:c r="J278" s="9" t="str">
        <x:v>Post-fix acceptance passed for Reusable option sets: 1 exact named test(s) matched and passed on build 1.2.3+156.</x:v>
      </x:c>
      <x:c r="K278" s="9" t="str">
        <x:v>evidence/flutter-test-machine-final-156.ndjson</x:v>
      </x:c>
      <x:c r="L278" s="9" t="str"/>
      <x:c r="M278" s="9" t="str">
        <x:v>Codex</x:v>
      </x:c>
      <x:c r="N278" s="9" t="str">
        <x:v>Flutter: test/features/v6/crm_configuration_workspace_test.dart :: inline field options migrate losslessly to one option set</x:v>
      </x:c>
    </x:row>
    <x:row r="279">
      <x:c r="A279" s="9" t="str">
        <x:v>RUN-G-223</x:v>
      </x:c>
      <x:c r="B279" s="9" t="str">
        <x:v>CFG-017</x:v>
      </x:c>
      <x:c r="C279" s="9" t="str">
        <x:v>REGRESSION</x:v>
      </x:c>
      <x:c r="D279" s="9" t="str">
        <x:v>1.2.3+156</x:v>
      </x:c>
      <x:c r="E279" s="9" t="str">
        <x:v>config editor</x:v>
      </x:c>
      <x:c r="F279" s="9" t="str">
        <x:v>Server</x:v>
      </x:c>
      <x:c r="G279" s="9" t="str">
        <x:v>config.crm.edit</x:v>
      </x:c>
      <x:c r="H279" s="9" t="str">
        <x:v>2026-08-06</x:v>
      </x:c>
      <x:c r="I279" s="9" t="str">
        <x:v>PASS</x:v>
      </x:c>
      <x:c r="J279" s="9" t="str">
        <x:v>Post-fix acceptance passed for Layout/placements: 1 exact named test(s) matched and passed on build 1.2.3+156.</x:v>
      </x:c>
      <x:c r="K279" s="9" t="str">
        <x:v>evidence/server-test-json-final-156.json</x:v>
      </x:c>
      <x:c r="L279" s="9" t="str"/>
      <x:c r="M279" s="9" t="str">
        <x:v>Codex</x:v>
      </x:c>
      <x:c r="N279" s="9" t="str">
        <x:v>Server: server/src/crm/crm-configuration-postgres.integration.spec.ts :: Unified CRM configuration (PostgreSQL) publishes the supported type matrix and syncs existing client forms</x:v>
      </x:c>
    </x:row>
    <x:row r="280">
      <x:c r="A280" s="9" t="str">
        <x:v>RUN-G-224</x:v>
      </x:c>
      <x:c r="B280" s="9" t="str">
        <x:v>CFG-018</x:v>
      </x:c>
      <x:c r="C280" s="9" t="str">
        <x:v>REGRESSION</x:v>
      </x:c>
      <x:c r="D280" s="9" t="str">
        <x:v>1.2.3+156</x:v>
      </x:c>
      <x:c r="E280" s="9" t="str">
        <x:v>config editor</x:v>
      </x:c>
      <x:c r="F280" s="9" t="str">
        <x:v>Server</x:v>
      </x:c>
      <x:c r="G280" s="9" t="str">
        <x:v>config.crm.edit</x:v>
      </x:c>
      <x:c r="H280" s="9" t="str">
        <x:v>2026-08-06</x:v>
      </x:c>
      <x:c r="I280" s="9" t="str">
        <x:v>PASS</x:v>
      </x:c>
      <x:c r="J280" s="9" t="str">
        <x:v>Post-fix acceptance passed for Lead pipeline: 1 exact named test(s) matched and passed on build 1.2.3+156.</x:v>
      </x:c>
      <x:c r="K280" s="9" t="str">
        <x:v>evidence/server-test-json-final-156.json</x:v>
      </x:c>
      <x:c r="L280" s="9" t="str"/>
      <x:c r="M280" s="9" t="str">
        <x:v>Codex</x:v>
      </x:c>
      <x:c r="N280" s="9" t="str">
        <x:v>Server: server/src/crm/student-funnel-postgres.integration.spec.ts :: Student funnel effective configuration (PostgreSQL) configures Lead and Student pipelines through the same version contract</x:v>
      </x:c>
    </x:row>
    <x:row r="281">
      <x:c r="A281" s="9" t="str">
        <x:v>RUN-G-225</x:v>
      </x:c>
      <x:c r="B281" s="9" t="str">
        <x:v>CFG-019</x:v>
      </x:c>
      <x:c r="C281" s="9" t="str">
        <x:v>REGRESSION</x:v>
      </x:c>
      <x:c r="D281" s="9" t="str">
        <x:v>1.2.3+156</x:v>
      </x:c>
      <x:c r="E281" s="9" t="str">
        <x:v>config editor</x:v>
      </x:c>
      <x:c r="F281" s="9" t="str">
        <x:v>Server</x:v>
      </x:c>
      <x:c r="G281" s="9" t="str">
        <x:v>config.crm.edit</x:v>
      </x:c>
      <x:c r="H281" s="9" t="str">
        <x:v>2026-08-06</x:v>
      </x:c>
      <x:c r="I281" s="9" t="str">
        <x:v>PASS</x:v>
      </x:c>
      <x:c r="J281" s="9" t="str">
        <x:v>Post-fix acceptance passed for Student pipeline: 1 exact named test(s) matched and passed on build 1.2.3+156.</x:v>
      </x:c>
      <x:c r="K281" s="9" t="str">
        <x:v>evidence/server-test-json-final-156.json</x:v>
      </x:c>
      <x:c r="L281" s="9" t="str"/>
      <x:c r="M281" s="9" t="str">
        <x:v>Codex</x:v>
      </x:c>
      <x:c r="N281" s="9" t="str">
        <x:v>Server: server/src/crm/student-funnel-postgres.integration.spec.ts :: Student funnel effective configuration (PostgreSQL) enforces configured transitions and rolls back by publishing a revision</x:v>
      </x:c>
    </x:row>
    <x:row r="282">
      <x:c r="A282" s="9" t="str">
        <x:v>RUN-G-226</x:v>
      </x:c>
      <x:c r="B282" s="9" t="str">
        <x:v>CFG-020</x:v>
      </x:c>
      <x:c r="C282" s="9" t="str">
        <x:v>REGRESSION</x:v>
      </x:c>
      <x:c r="D282" s="9" t="str">
        <x:v>1.2.3+156</x:v>
      </x:c>
      <x:c r="E282" s="9" t="str">
        <x:v>config editor</x:v>
      </x:c>
      <x:c r="F282" s="9" t="str">
        <x:v>Server</x:v>
      </x:c>
      <x:c r="G282" s="9" t="str">
        <x:v>config.crm.edit</x:v>
      </x:c>
      <x:c r="H282" s="9" t="str">
        <x:v>2026-08-06</x:v>
      </x:c>
      <x:c r="I282" s="9" t="str">
        <x:v>PASS</x:v>
      </x:c>
      <x:c r="J282" s="9" t="str">
        <x:v>Post-fix acceptance passed for Business numbers: 1 exact named test(s) matched and passed on build 1.2.3+156.</x:v>
      </x:c>
      <x:c r="K282" s="9" t="str">
        <x:v>evidence/server-test-json-final-156.json</x:v>
      </x:c>
      <x:c r="L282" s="9" t="str"/>
      <x:c r="M282" s="9" t="str">
        <x:v>Codex</x:v>
      </x:c>
      <x:c r="N282" s="9" t="str">
        <x:v>Server: server/src/crm/crm-configuration-postgres.integration.spec.ts :: Unified CRM configuration (PostgreSQL) publishes the supported type matrix and syncs existing client forms</x:v>
      </x:c>
    </x:row>
    <x:row r="283">
      <x:c r="A283" s="9" t="str">
        <x:v>RUN-G-227</x:v>
      </x:c>
      <x:c r="B283" s="9" t="str">
        <x:v>CFG-021</x:v>
      </x:c>
      <x:c r="C283" s="9" t="str">
        <x:v>REGRESSION</x:v>
      </x:c>
      <x:c r="D283" s="9" t="str">
        <x:v>1.2.3+156</x:v>
      </x:c>
      <x:c r="E283" s="9" t="str">
        <x:v>config editor</x:v>
      </x:c>
      <x:c r="F283" s="9" t="str">
        <x:v>Flutter</x:v>
      </x:c>
      <x:c r="G283" s="9" t="str">
        <x:v>config.crm.edit</x:v>
      </x:c>
      <x:c r="H283" s="9" t="str">
        <x:v>2026-08-06</x:v>
      </x:c>
      <x:c r="I283" s="9" t="str">
        <x:v>PASS</x:v>
      </x:c>
      <x:c r="J283" s="9" t="str">
        <x:v>Post-fix acceptance passed for Impact preview: 1 exact named test(s) matched and passed on build 1.2.3+156.</x:v>
      </x:c>
      <x:c r="K283" s="9" t="str">
        <x:v>evidence/flutter-test-machine-final-156.ndjson</x:v>
      </x:c>
      <x:c r="L283" s="9" t="str"/>
      <x:c r="M283" s="9" t="str">
        <x:v>Codex</x:v>
      </x:c>
      <x:c r="N283" s="9" t="str">
        <x:v>Flutter: test/features/v6/crm_configuration_workspace_test.dart :: director edits a draft and publishes through impact preview</x:v>
      </x:c>
    </x:row>
    <x:row r="284">
      <x:c r="A284" s="9" t="str">
        <x:v>RUN-G-228</x:v>
      </x:c>
      <x:c r="B284" s="9" t="str">
        <x:v>CFG-022</x:v>
      </x:c>
      <x:c r="C284" s="9" t="str">
        <x:v>REGRESSION</x:v>
      </x:c>
      <x:c r="D284" s="9" t="str">
        <x:v>1.2.3+156</x:v>
      </x:c>
      <x:c r="E284" s="9" t="str">
        <x:v>config editor</x:v>
      </x:c>
      <x:c r="F284" s="9" t="str">
        <x:v>Server</x:v>
      </x:c>
      <x:c r="G284" s="9" t="str">
        <x:v>config.crm.edit</x:v>
      </x:c>
      <x:c r="H284" s="9" t="str">
        <x:v>2026-08-06</x:v>
      </x:c>
      <x:c r="I284" s="9" t="str">
        <x:v>PASS</x:v>
      </x:c>
      <x:c r="J284" s="9" t="str">
        <x:v>Post-fix acceptance passed for Publish config: 1 exact named test(s) matched and passed on build 1.2.3+156.</x:v>
      </x:c>
      <x:c r="K284" s="9" t="str">
        <x:v>evidence/server-test-json-final-156.json</x:v>
      </x:c>
      <x:c r="L284" s="9" t="str"/>
      <x:c r="M284" s="9" t="str">
        <x:v>Codex</x:v>
      </x:c>
      <x:c r="N284" s="9" t="str">
        <x:v>Server: server/src/crm/crm-configuration-postgres.integration.spec.ts :: Unified CRM configuration (PostgreSQL) rejects the second stale publish and rolls back as a new immutable revision</x:v>
      </x:c>
    </x:row>
    <x:row r="285">
      <x:c r="A285" s="9" t="str">
        <x:v>RUN-G-229</x:v>
      </x:c>
      <x:c r="B285" s="9" t="str">
        <x:v>CFG-023</x:v>
      </x:c>
      <x:c r="C285" s="9" t="str">
        <x:v>REGRESSION</x:v>
      </x:c>
      <x:c r="D285" s="9" t="str">
        <x:v>1.2.3+156</x:v>
      </x:c>
      <x:c r="E285" s="9" t="str">
        <x:v>config reader</x:v>
      </x:c>
      <x:c r="F285" s="9" t="str">
        <x:v>Server</x:v>
      </x:c>
      <x:c r="G285" s="9" t="str">
        <x:v>config.crm.read</x:v>
      </x:c>
      <x:c r="H285" s="9" t="str">
        <x:v>2026-08-06</x:v>
      </x:c>
      <x:c r="I285" s="9" t="str">
        <x:v>PASS</x:v>
      </x:c>
      <x:c r="J285" s="9" t="str">
        <x:v>Post-fix acceptance passed for Revision history: 1 exact named test(s) matched and passed on build 1.2.3+156.</x:v>
      </x:c>
      <x:c r="K285" s="9" t="str">
        <x:v>evidence/server-test-json-final-156.json</x:v>
      </x:c>
      <x:c r="L285" s="9" t="str"/>
      <x:c r="M285" s="9" t="str">
        <x:v>Codex</x:v>
      </x:c>
      <x:c r="N285" s="9" t="str">
        <x:v>Server: server/src/crm/crm-configuration-postgres.integration.spec.ts :: Unified CRM configuration (PostgreSQL) rejects the second stale publish and rolls back as a new immutable revision</x:v>
      </x:c>
    </x:row>
    <x:row r="286">
      <x:c r="A286" s="9" t="str">
        <x:v>RUN-G-230</x:v>
      </x:c>
      <x:c r="B286" s="9" t="str">
        <x:v>CFG-024</x:v>
      </x:c>
      <x:c r="C286" s="9" t="str">
        <x:v>REGRESSION</x:v>
      </x:c>
      <x:c r="D286" s="9" t="str">
        <x:v>1.2.3+156</x:v>
      </x:c>
      <x:c r="E286" s="9" t="str">
        <x:v>config editor</x:v>
      </x:c>
      <x:c r="F286" s="9" t="str">
        <x:v>Server</x:v>
      </x:c>
      <x:c r="G286" s="9" t="str">
        <x:v>config.crm.edit</x:v>
      </x:c>
      <x:c r="H286" s="9" t="str">
        <x:v>2026-08-06</x:v>
      </x:c>
      <x:c r="I286" s="9" t="str">
        <x:v>PASS</x:v>
      </x:c>
      <x:c r="J286" s="9" t="str">
        <x:v>Post-fix acceptance passed for Rollback config: 1 exact named test(s) matched and passed on build 1.2.3+156.</x:v>
      </x:c>
      <x:c r="K286" s="9" t="str">
        <x:v>evidence/server-test-json-final-156.json</x:v>
      </x:c>
      <x:c r="L286" s="9" t="str"/>
      <x:c r="M286" s="9" t="str">
        <x:v>Codex</x:v>
      </x:c>
      <x:c r="N286" s="9" t="str">
        <x:v>Server: server/src/crm/crm-configuration-postgres.integration.spec.ts :: Unified CRM configuration (PostgreSQL) rejects the second stale publish and rolls back as a new immutable revision</x:v>
      </x:c>
    </x:row>
    <x:row r="287">
      <x:c r="A287" s="9" t="str">
        <x:v>RUN-G-231</x:v>
      </x:c>
      <x:c r="B287" s="9" t="str">
        <x:v>CFG-025</x:v>
      </x:c>
      <x:c r="C287" s="9" t="str">
        <x:v>REGRESSION</x:v>
      </x:c>
      <x:c r="D287" s="9" t="str">
        <x:v>1.2.3+156</x:v>
      </x:c>
      <x:c r="E287" s="9" t="str">
        <x:v>разрешённый admin actor</x:v>
      </x:c>
      <x:c r="F287" s="9" t="str">
        <x:v>Flutter</x:v>
      </x:c>
      <x:c r="G287" s="9" t="str">
        <x:v>people manage</x:v>
      </x:c>
      <x:c r="H287" s="9" t="str">
        <x:v>2026-08-06</x:v>
      </x:c>
      <x:c r="I287" s="9" t="str">
        <x:v>PASS</x:v>
      </x:c>
      <x:c r="J287" s="9" t="str">
        <x:v>Post-fix acceptance passed for Employees: 1 exact named test(s) matched and passed on build 1.2.3+156.</x:v>
      </x:c>
      <x:c r="K287" s="9" t="str">
        <x:v>evidence/flutter-test-machine-final-156.ndjson</x:v>
      </x:c>
      <x:c r="L287" s="9" t="str"/>
      <x:c r="M287" s="9" t="str">
        <x:v>Codex</x:v>
      </x:c>
      <x:c r="N287" s="9" t="str">
        <x:v>Flutter: test/features/v6/system_settings_workspace_test.dart :: settings lists localized staff status and group size</x:v>
      </x:c>
    </x:row>
    <x:row r="288">
      <x:c r="A288" s="9" t="str">
        <x:v>RUN-G-232</x:v>
      </x:c>
      <x:c r="B288" s="9" t="str">
        <x:v>CFG-026</x:v>
      </x:c>
      <x:c r="C288" s="9" t="str">
        <x:v>REGRESSION</x:v>
      </x:c>
      <x:c r="D288" s="9" t="str">
        <x:v>1.2.3+156</x:v>
      </x:c>
      <x:c r="E288" s="9" t="str">
        <x:v>разрешённый admin actor</x:v>
      </x:c>
      <x:c r="F288" s="9" t="str">
        <x:v>Flutter</x:v>
      </x:c>
      <x:c r="G288" s="9" t="str">
        <x:v>people manage</x:v>
      </x:c>
      <x:c r="H288" s="9" t="str">
        <x:v>2026-08-06</x:v>
      </x:c>
      <x:c r="I288" s="9" t="str">
        <x:v>PASS</x:v>
      </x:c>
      <x:c r="J288" s="9" t="str">
        <x:v>Post-fix acceptance passed for Teachers: 1 exact named test(s) matched and passed on build 1.2.3+156.</x:v>
      </x:c>
      <x:c r="K288" s="9" t="str">
        <x:v>evidence/flutter-test-machine-final-156.ndjson</x:v>
      </x:c>
      <x:c r="L288" s="9" t="str"/>
      <x:c r="M288" s="9" t="str">
        <x:v>Codex</x:v>
      </x:c>
      <x:c r="N288" s="9" t="str">
        <x:v>Flutter: test/features/v6/system_settings_workspace_test.dart :: director creates teacher from the mounted users workspace</x:v>
      </x:c>
    </x:row>
    <x:row r="289">
      <x:c r="A289" s="9" t="str">
        <x:v>RUN-G-233</x:v>
      </x:c>
      <x:c r="B289" s="9" t="str">
        <x:v>CFG-027</x:v>
      </x:c>
      <x:c r="C289" s="9" t="str">
        <x:v>REGRESSION</x:v>
      </x:c>
      <x:c r="D289" s="9" t="str">
        <x:v>1.2.3+156</x:v>
      </x:c>
      <x:c r="E289" s="9" t="str">
        <x:v>директор/system admin</x:v>
      </x:c>
      <x:c r="F289" s="9" t="str">
        <x:v>Server</x:v>
      </x:c>
      <x:c r="G289" s="9" t="str">
        <x:v>access manage</x:v>
      </x:c>
      <x:c r="H289" s="9" t="str">
        <x:v>2026-08-06</x:v>
      </x:c>
      <x:c r="I289" s="9" t="str">
        <x:v>PASS</x:v>
      </x:c>
      <x:c r="J289" s="9" t="str">
        <x:v>Post-fix acceptance passed for Assign role: 1 exact named test(s) matched and passed on build 1.2.3+156.</x:v>
      </x:c>
      <x:c r="K289" s="9" t="str">
        <x:v>evidence/server-test-json-final-156.json</x:v>
      </x:c>
      <x:c r="L289" s="9" t="str"/>
      <x:c r="M289" s="9" t="str">
        <x:v>Codex</x:v>
      </x:c>
      <x:c r="N289" s="9" t="str">
        <x:v>Server: server/src/profile/profile.policy.spec.ts :: ProfilePolicy assertCanUpdateRole — иерархия ролей (manager &gt; admin) director may assign roles strictly below director (incl. manager)</x:v>
      </x:c>
    </x:row>
    <x:row r="290">
      <x:c r="A290" s="9" t="str">
        <x:v>RUN-G-234</x:v>
      </x:c>
      <x:c r="B290" s="9" t="str">
        <x:v>CFG-028</x:v>
      </x:c>
      <x:c r="C290" s="9" t="str">
        <x:v>REGRESSION</x:v>
      </x:c>
      <x:c r="D290" s="9" t="str">
        <x:v>1.2.3+156</x:v>
      </x:c>
      <x:c r="E290" s="9" t="str">
        <x:v>system admin/authorized director</x:v>
      </x:c>
      <x:c r="F290" s="9" t="str">
        <x:v>Server</x:v>
      </x:c>
      <x:c r="G290" s="9" t="str">
        <x:v>access manage</x:v>
      </x:c>
      <x:c r="H290" s="9" t="str">
        <x:v>2026-08-06</x:v>
      </x:c>
      <x:c r="I290" s="9" t="str">
        <x:v>PASS</x:v>
      </x:c>
      <x:c r="J290" s="9" t="str">
        <x:v>Post-fix acceptance passed for Role packages: 1 exact named test(s) matched and passed on build 1.2.3+156.</x:v>
      </x:c>
      <x:c r="K290" s="9" t="str">
        <x:v>evidence/server-test-json-final-156.json</x:v>
      </x:c>
      <x:c r="L290" s="9" t="str"/>
      <x:c r="M290" s="9" t="str">
        <x:v>Codex</x:v>
      </x:c>
      <x:c r="N290" s="9" t="str">
        <x:v>Server: server/src/access-control/capability-request-authorizer.spec.ts :: CapabilityRequestAuthorizer allows the current database role package and returns the route scope</x:v>
      </x:c>
    </x:row>
    <x:row r="291">
      <x:c r="A291" s="9" t="str">
        <x:v>RUN-G-235</x:v>
      </x:c>
      <x:c r="B291" s="9" t="str">
        <x:v>CFG-029</x:v>
      </x:c>
      <x:c r="C291" s="9" t="str">
        <x:v>REGRESSION</x:v>
      </x:c>
      <x:c r="D291" s="9" t="str">
        <x:v>1.2.3+156</x:v>
      </x:c>
      <x:c r="E291" s="9" t="str">
        <x:v>authorized access admin</x:v>
      </x:c>
      <x:c r="F291" s="9" t="str">
        <x:v>Server</x:v>
      </x:c>
      <x:c r="G291" s="9" t="str">
        <x:v>access manage</x:v>
      </x:c>
      <x:c r="H291" s="9" t="str">
        <x:v>2026-08-06</x:v>
      </x:c>
      <x:c r="I291" s="9" t="str">
        <x:v>PASS</x:v>
      </x:c>
      <x:c r="J291" s="9" t="str">
        <x:v>Post-fix acceptance passed for User capability override: 1 exact named test(s) matched and passed on build 1.2.3+156.</x:v>
      </x:c>
      <x:c r="K291" s="9" t="str">
        <x:v>evidence/server-test-json-final-156.json</x:v>
      </x:c>
      <x:c r="L291" s="9" t="str"/>
      <x:c r="M291" s="9" t="str">
        <x:v>Codex</x:v>
      </x:c>
      <x:c r="N291" s="9" t="str">
        <x:v>Server: server/src/access-control/effective-access-evaluator.spec.ts :: EffectiveAccessEvaluator enforces override modes and resource scope after package/override</x:v>
      </x:c>
    </x:row>
    <x:row r="292">
      <x:c r="A292" s="9" t="str">
        <x:v>RUN-G-236</x:v>
      </x:c>
      <x:c r="B292" s="9" t="str">
        <x:v>CFG-030</x:v>
      </x:c>
      <x:c r="C292" s="9" t="str">
        <x:v>REGRESSION</x:v>
      </x:c>
      <x:c r="D292" s="9" t="str">
        <x:v>1.2.3+156</x:v>
      </x:c>
      <x:c r="E292" s="9" t="str">
        <x:v>директор</x:v>
      </x:c>
      <x:c r="F292" s="9" t="str">
        <x:v>Server</x:v>
      </x:c>
      <x:c r="G292" s="9" t="str">
        <x:v>director delegation</x:v>
      </x:c>
      <x:c r="H292" s="9" t="str">
        <x:v>2026-08-06</x:v>
      </x:c>
      <x:c r="I292" s="9" t="str">
        <x:v>PASS</x:v>
      </x:c>
      <x:c r="J292" s="9" t="str">
        <x:v>Post-fix acceptance passed for Delegated Manager editing: 1 exact named test(s) matched and passed on build 1.2.3+156.</x:v>
      </x:c>
      <x:c r="K292" s="9" t="str">
        <x:v>evidence/server-test-json-final-156.json</x:v>
      </x:c>
      <x:c r="L292" s="9" t="str"/>
      <x:c r="M292" s="9" t="str">
        <x:v>Codex</x:v>
      </x:c>
      <x:c r="N292" s="9" t="str">
        <x:v>Server: server/src/crm/crm-configuration-postgres.integration.spec.ts :: Unified CRM configuration (PostgreSQL) keeps branch overrides sparse and manager scope branch-only</x:v>
      </x:c>
    </x:row>
    <x:row r="293">
      <x:c r="A293" s="9" t="str">
        <x:v>RUN-G-237</x:v>
      </x:c>
      <x:c r="B293" s="9" t="str">
        <x:v>CFG-031</x:v>
      </x:c>
      <x:c r="C293" s="9" t="str">
        <x:v>REGRESSION</x:v>
      </x:c>
      <x:c r="D293" s="9" t="str">
        <x:v>1.2.3+156</x:v>
      </x:c>
      <x:c r="E293" s="9" t="str">
        <x:v>директор/system admin</x:v>
      </x:c>
      <x:c r="F293" s="9" t="str">
        <x:v>Server</x:v>
      </x:c>
      <x:c r="G293" s="9" t="str">
        <x:v>maintenance capability</x:v>
      </x:c>
      <x:c r="H293" s="9" t="str">
        <x:v>2026-08-06</x:v>
      </x:c>
      <x:c r="I293" s="9" t="str">
        <x:v>PASS</x:v>
      </x:c>
      <x:c r="J293" s="9" t="str">
        <x:v>Post-fix acceptance passed for Data quality maintenance: 1 exact named test(s) matched and passed on build 1.2.3+156.</x:v>
      </x:c>
      <x:c r="K293" s="9" t="str">
        <x:v>evidence/server-test-json-final-156.json</x:v>
      </x:c>
      <x:c r="L293" s="9" t="str"/>
      <x:c r="M293" s="9" t="str">
        <x:v>Codex</x:v>
      </x:c>
      <x:c r="N293" s="9" t="str">
        <x:v>Server: server/src/crm/phone-review.service.spec.ts :: PhoneReviewService lists open phone-review-queue rows</x:v>
      </x:c>
    </x:row>
    <x:row r="294">
      <x:c r="A294" s="9" t="str">
        <x:v>RUN-G-238</x:v>
      </x:c>
      <x:c r="B294" s="9" t="str">
        <x:v>CFG-032</x:v>
      </x:c>
      <x:c r="C294" s="9" t="str">
        <x:v>REGRESSION</x:v>
      </x:c>
      <x:c r="D294" s="9" t="str">
        <x:v>1.2.3+156</x:v>
      </x:c>
      <x:c r="E294" s="9" t="str">
        <x:v>директор/system admin</x:v>
      </x:c>
      <x:c r="F294" s="9" t="str">
        <x:v>Server</x:v>
      </x:c>
      <x:c r="G294" s="9" t="str">
        <x:v>account deletion admin</x:v>
      </x:c>
      <x:c r="H294" s="9" t="str">
        <x:v>2026-08-06</x:v>
      </x:c>
      <x:c r="I294" s="9" t="str">
        <x:v>PASS</x:v>
      </x:c>
      <x:c r="J294" s="9" t="str">
        <x:v>Post-fix acceptance passed for Deletion requests: 1 exact named test(s) matched and passed on build 1.2.3+156.</x:v>
      </x:c>
      <x:c r="K294" s="9" t="str">
        <x:v>evidence/server-test-json-final-156.json</x:v>
      </x:c>
      <x:c r="L294" s="9" t="str"/>
      <x:c r="M294" s="9" t="str">
        <x:v>Codex</x:v>
      </x:c>
      <x:c r="N294" s="9" t="str">
        <x:v>Server: server/src/legal/legal.policy.spec.ts :: LegalPolicy enforces deletion lifecycle transitions</x:v>
      </x:c>
    </x:row>
    <x:row r="295">
      <x:c r="A295" s="9" t="str">
        <x:v>RUN-G-239</x:v>
      </x:c>
      <x:c r="B295" s="9" t="str">
        <x:v>CFG-033</x:v>
      </x:c>
      <x:c r="C295" s="9" t="str">
        <x:v>REGRESSION</x:v>
      </x:c>
      <x:c r="D295" s="9" t="str">
        <x:v>1.2.3+156</x:v>
      </x:c>
      <x:c r="E295" s="9" t="str">
        <x:v>authorized settings actor</x:v>
      </x:c>
      <x:c r="F295" s="9" t="str">
        <x:v>Server</x:v>
      </x:c>
      <x:c r="G295" s="9" t="str">
        <x:v>settings manage</x:v>
      </x:c>
      <x:c r="H295" s="9" t="str">
        <x:v>2026-08-06</x:v>
      </x:c>
      <x:c r="I295" s="9" t="str">
        <x:v>PASS</x:v>
      </x:c>
      <x:c r="J295" s="9" t="str">
        <x:v>Post-fix acceptance passed for Admin chat avatar: 1 exact named test(s) matched and passed on build 1.2.3+156.</x:v>
      </x:c>
      <x:c r="K295" s="9" t="str">
        <x:v>evidence/server-test-json-final-156.json</x:v>
      </x:c>
      <x:c r="L295" s="9" t="str"/>
      <x:c r="M295" s="9" t="str">
        <x:v>Codex</x:v>
      </x:c>
      <x:c r="N295" s="9" t="str">
        <x:v>Server: server/src/settings/settings.service.spec.ts :: SettingsService updates admin chat avatar only for admins and records audit</x:v>
      </x:c>
    </x:row>
    <x:row r="296">
      <x:c r="A296" s="9" t="str">
        <x:v>RUN-G-240</x:v>
      </x:c>
      <x:c r="B296" s="9" t="str">
        <x:v>PLT-001</x:v>
      </x:c>
      <x:c r="C296" s="9" t="str">
        <x:v>REGRESSION</x:v>
      </x:c>
      <x:c r="D296" s="9" t="str">
        <x:v>1.2.3+156</x:v>
      </x:c>
      <x:c r="E296" s="9" t="str">
        <x:v>пользователь</x:v>
      </x:c>
      <x:c r="F296" s="9" t="str">
        <x:v>Flutter</x:v>
      </x:c>
      <x:c r="G296" s="9" t="str">
        <x:v>public health</x:v>
      </x:c>
      <x:c r="H296" s="9" t="str">
        <x:v>2026-08-06</x:v>
      </x:c>
      <x:c r="I296" s="9" t="str">
        <x:v>PASS</x:v>
      </x:c>
      <x:c r="J296" s="9" t="str">
        <x:v>Post-fix acceptance passed for API health warmup: 1 exact named test(s) matched and passed on build 1.2.3+156.</x:v>
      </x:c>
      <x:c r="K296" s="9" t="str">
        <x:v>evidence/flutter-test-machine-final-156.ndjson</x:v>
      </x:c>
      <x:c r="L296" s="9" t="str"/>
      <x:c r="M296" s="9" t="str">
        <x:v>Codex</x:v>
      </x:c>
      <x:c r="N296" s="9" t="str">
        <x:v>Flutter: test/startup_warmup_test.dart :: API warmup failure never blocks application startup</x:v>
      </x:c>
    </x:row>
    <x:row r="297">
      <x:c r="A297" s="9" t="str">
        <x:v>RUN-G-241</x:v>
      </x:c>
      <x:c r="B297" s="9" t="str">
        <x:v>PLT-002</x:v>
      </x:c>
      <x:c r="C297" s="9" t="str">
        <x:v>REGRESSION</x:v>
      </x:c>
      <x:c r="D297" s="9" t="str">
        <x:v>1.2.3+156</x:v>
      </x:c>
      <x:c r="E297" s="9" t="str">
        <x:v>system</x:v>
      </x:c>
      <x:c r="F297" s="9" t="str">
        <x:v>Flutter</x:v>
      </x:c>
      <x:c r="G297" s="9" t="str">
        <x:v>trust boundary</x:v>
      </x:c>
      <x:c r="H297" s="9" t="str">
        <x:v>2026-08-06</x:v>
      </x:c>
      <x:c r="I297" s="9" t="str">
        <x:v>PASS</x:v>
      </x:c>
      <x:c r="J297" s="9" t="str">
        <x:v>Post-fix acceptance passed for Strict server validation: 1 exact named test(s) matched and passed on build 1.2.3+156.</x:v>
      </x:c>
      <x:c r="K297" s="9" t="str">
        <x:v>evidence/flutter-test-machine-final-156.ndjson</x:v>
      </x:c>
      <x:c r="L297" s="9" t="str"/>
      <x:c r="M297" s="9" t="str">
        <x:v>Codex</x:v>
      </x:c>
      <x:c r="N297" s="9" t="str">
        <x:v>Flutter: test/core/api/magic_api_client_test.dart :: MagicApiClient maps backend validation errors to typed exception</x:v>
      </x:c>
    </x:row>
    <x:row r="298">
      <x:c r="A298" s="9" t="str">
        <x:v>RUN-G-242</x:v>
      </x:c>
      <x:c r="B298" s="9" t="str">
        <x:v>PLT-003</x:v>
      </x:c>
      <x:c r="C298" s="9" t="str">
        <x:v>REGRESSION</x:v>
      </x:c>
      <x:c r="D298" s="9" t="str">
        <x:v>1.2.3+156</x:v>
      </x:c>
      <x:c r="E298" s="9" t="str">
        <x:v>system</x:v>
      </x:c>
      <x:c r="F298" s="9" t="str">
        <x:v>Server</x:v>
      </x:c>
      <x:c r="G298" s="9" t="str">
        <x:v>security</x:v>
      </x:c>
      <x:c r="H298" s="9" t="str">
        <x:v>2026-08-06</x:v>
      </x:c>
      <x:c r="I298" s="9" t="str">
        <x:v>PASS</x:v>
      </x:c>
      <x:c r="J298" s="9" t="str">
        <x:v>Post-fix acceptance passed for Safe logging: 2 exact named test(s) matched and passed on build 1.2.3+156.</x:v>
      </x:c>
      <x:c r="K298" s="9" t="str">
        <x:v>evidence/server-test-json-final-156.json</x:v>
      </x:c>
      <x:c r="L298" s="9" t="str"/>
      <x:c r="M298" s="9" t="str">
        <x:v>Codex</x:v>
      </x:c>
      <x:c r="N298" s="9" t="str">
        <x:v>Server: server/src/common/logging/redact.util.spec.ts :: redactSensitive redacts bearer tokens in strings
Server: server/src/common/logging/redact.util.spec.ts :: redactSensitive masks financial, comment and representative fields</x:v>
      </x:c>
    </x:row>
    <x:row r="299">
      <x:c r="A299" s="9" t="str">
        <x:v>RUN-G-243</x:v>
      </x:c>
      <x:c r="B299" s="9" t="str">
        <x:v>PLT-004</x:v>
      </x:c>
      <x:c r="C299" s="9" t="str">
        <x:v>REGRESSION</x:v>
      </x:c>
      <x:c r="D299" s="9" t="str">
        <x:v>1.2.3+156</x:v>
      </x:c>
      <x:c r="E299" s="9" t="str">
        <x:v>вошедший пользователь</x:v>
      </x:c>
      <x:c r="F299" s="9" t="str">
        <x:v>Flutter</x:v>
      </x:c>
      <x:c r="G299" s="9" t="str">
        <x:v>current account</x:v>
      </x:c>
      <x:c r="H299" s="9" t="str">
        <x:v>2026-08-06</x:v>
      </x:c>
      <x:c r="I299" s="9" t="str">
        <x:v>PASS</x:v>
      </x:c>
      <x:c r="J299" s="9" t="str">
        <x:v>Post-fix acceptance passed for Single realtime socket: 1 exact named test(s) matched and passed on build 1.2.3+156.</x:v>
      </x:c>
      <x:c r="K299" s="9" t="str">
        <x:v>evidence/flutter-test-machine-final-156.ndjson</x:v>
      </x:c>
      <x:c r="L299" s="9" t="str"/>
      <x:c r="M299" s="9" t="str">
        <x:v>Codex</x:v>
      </x:c>
      <x:c r="N299" s="9" t="str">
        <x:v>Flutter: test/core/services/magic_realtime_service_test.dart :: MagicRealtimeService shares one socket across consumers and closes it with the last one</x:v>
      </x:c>
    </x:row>
    <x:row r="300">
      <x:c r="A300" s="9" t="str">
        <x:v>RUN-G-244</x:v>
      </x:c>
      <x:c r="B300" s="9" t="str">
        <x:v>PLT-005</x:v>
      </x:c>
      <x:c r="C300" s="9" t="str">
        <x:v>REGRESSION</x:v>
      </x:c>
      <x:c r="D300" s="9" t="str">
        <x:v>1.2.3+156</x:v>
      </x:c>
      <x:c r="E300" s="9" t="str">
        <x:v>пользователь</x:v>
      </x:c>
      <x:c r="F300" s="9" t="str">
        <x:v>Flutter</x:v>
      </x:c>
      <x:c r="G300" s="9" t="str">
        <x:v>account isolation</x:v>
      </x:c>
      <x:c r="H300" s="9" t="str">
        <x:v>2026-08-06</x:v>
      </x:c>
      <x:c r="I300" s="9" t="str">
        <x:v>PASS</x:v>
      </x:c>
      <x:c r="J300" s="9" t="str">
        <x:v>Post-fix acceptance passed for Realtime account isolation: 1 exact named test(s) matched and passed on build 1.2.3+156.</x:v>
      </x:c>
      <x:c r="K300" s="9" t="str">
        <x:v>evidence/flutter-test-machine-final-156.ndjson</x:v>
      </x:c>
      <x:c r="L300" s="9" t="str"/>
      <x:c r="M300" s="9" t="str">
        <x:v>Codex</x:v>
      </x:c>
      <x:c r="N300" s="9" t="str">
        <x:v>Flutter: test/core/services/magic_realtime_service_test.dart :: MagicRealtimeService logout A then login B force-disposes A transport and detaches handlers</x:v>
      </x:c>
    </x:row>
    <x:row r="301">
      <x:c r="A301" s="9" t="str">
        <x:v>RUN-G-245</x:v>
      </x:c>
      <x:c r="B301" s="9" t="str">
        <x:v>PLT-006</x:v>
      </x:c>
      <x:c r="C301" s="9" t="str">
        <x:v>REGRESSION</x:v>
      </x:c>
      <x:c r="D301" s="9" t="str">
        <x:v>1.2.3+156</x:v>
      </x:c>
      <x:c r="E301" s="9" t="str">
        <x:v>staff/teacher</x:v>
      </x:c>
      <x:c r="F301" s="9" t="str">
        <x:v>Server</x:v>
      </x:c>
      <x:c r="G301" s="9" t="str">
        <x:v>actor scope</x:v>
      </x:c>
      <x:c r="H301" s="9" t="str">
        <x:v>2026-08-06</x:v>
      </x:c>
      <x:c r="I301" s="9" t="str">
        <x:v>PASS</x:v>
      </x:c>
      <x:c r="J301" s="9" t="str">
        <x:v>Post-fix acceptance passed for CRM invalidation: 1 exact named test(s) matched and passed on build 1.2.3+156.</x:v>
      </x:c>
      <x:c r="K301" s="9" t="str">
        <x:v>evidence/server-test-json-final-156.json</x:v>
      </x:c>
      <x:c r="L301" s="9" t="str"/>
      <x:c r="M301" s="9" t="str">
        <x:v>Codex</x:v>
      </x:c>
      <x:c r="N301" s="9" t="str">
        <x:v>Server: server/src/access-control/actor-matrix-payload-leak.spec.ts :: v4 Teacher payload leak scan keeps access/CRM realtime payloads free of business and PII values</x:v>
      </x:c>
    </x:row>
    <x:row r="302">
      <x:c r="A302" s="9" t="str">
        <x:v>RUN-G-246</x:v>
      </x:c>
      <x:c r="B302" s="9" t="str">
        <x:v>PLT-007</x:v>
      </x:c>
      <x:c r="C302" s="9" t="str">
        <x:v>REGRESSION</x:v>
      </x:c>
      <x:c r="D302" s="9" t="str">
        <x:v>1.2.3+156</x:v>
      </x:c>
      <x:c r="E302" s="9" t="str">
        <x:v>вошедший пользователь</x:v>
      </x:c>
      <x:c r="F302" s="9" t="str">
        <x:v>Server</x:v>
      </x:c>
      <x:c r="G302" s="9" t="str">
        <x:v>current user</x:v>
      </x:c>
      <x:c r="H302" s="9" t="str">
        <x:v>2026-08-06</x:v>
      </x:c>
      <x:c r="I302" s="9" t="str">
        <x:v>PASS</x:v>
      </x:c>
      <x:c r="J302" s="9" t="str">
        <x:v>Post-fix acceptance passed for Access invalidation: 1 exact named test(s) matched and passed on build 1.2.3+156.</x:v>
      </x:c>
      <x:c r="K302" s="9" t="str">
        <x:v>evidence/server-test-json-final-156.json</x:v>
      </x:c>
      <x:c r="L302" s="9" t="str"/>
      <x:c r="M302" s="9" t="str">
        <x:v>Codex</x:v>
      </x:c>
      <x:c r="N302" s="9" t="str">
        <x:v>Server: server/src/access-control/access-invalidation.integration.spec.ts :: access/session invalidation (PostgreSQL + realtime) revokes both active sessions within five seconds and denies the next request</x:v>
      </x:c>
    </x:row>
    <x:row r="303">
      <x:c r="A303" s="9" t="str">
        <x:v>RUN-G-247</x:v>
      </x:c>
      <x:c r="B303" s="9" t="str">
        <x:v>PLT-008</x:v>
      </x:c>
      <x:c r="C303" s="9" t="str">
        <x:v>REGRESSION</x:v>
      </x:c>
      <x:c r="D303" s="9" t="str">
        <x:v>1.2.3+156</x:v>
      </x:c>
      <x:c r="E303" s="9" t="str">
        <x:v>mobile пользователь</x:v>
      </x:c>
      <x:c r="F303" s="9" t="str">
        <x:v>Server</x:v>
      </x:c>
      <x:c r="G303" s="9" t="str">
        <x:v>self device</x:v>
      </x:c>
      <x:c r="H303" s="9" t="str">
        <x:v>2026-08-06</x:v>
      </x:c>
      <x:c r="I303" s="9" t="str">
        <x:v>PASS</x:v>
      </x:c>
      <x:c r="J303" s="9" t="str">
        <x:v>Post-fix acceptance passed for Push token sync: 1 exact named test(s) matched and passed on build 1.2.3+156.</x:v>
      </x:c>
      <x:c r="K303" s="9" t="str">
        <x:v>evidence/server-test-json-final-156.json</x:v>
      </x:c>
      <x:c r="L303" s="9" t="str"/>
      <x:c r="M303" s="9" t="str">
        <x:v>Codex</x:v>
      </x:c>
      <x:c r="N303" s="9" t="str">
        <x:v>Server: server/src/notifications/notifications.service.spec.ts :: NotificationsService registers an encrypted device token and atomically transfers its active owner</x:v>
      </x:c>
    </x:row>
    <x:row r="304">
      <x:c r="A304" s="9" t="str">
        <x:v>RUN-G-248</x:v>
      </x:c>
      <x:c r="B304" s="9" t="str">
        <x:v>PLT-009</x:v>
      </x:c>
      <x:c r="C304" s="9" t="str">
        <x:v>REGRESSION</x:v>
      </x:c>
      <x:c r="D304" s="9" t="str">
        <x:v>1.2.3+156</x:v>
      </x:c>
      <x:c r="E304" s="9" t="str">
        <x:v>вошедший пользователь</x:v>
      </x:c>
      <x:c r="F304" s="9" t="str">
        <x:v>Flutter</x:v>
      </x:c>
      <x:c r="G304" s="9" t="str">
        <x:v>self</x:v>
      </x:c>
      <x:c r="H304" s="9" t="str">
        <x:v>2026-08-06</x:v>
      </x:c>
      <x:c r="I304" s="9" t="str">
        <x:v>PASS</x:v>
      </x:c>
      <x:c r="J304" s="9" t="str">
        <x:v>Post-fix acceptance passed for Notification inbox: 1 exact named test(s) matched and passed on build 1.2.3+156.</x:v>
      </x:c>
      <x:c r="K304" s="9" t="str">
        <x:v>evidence/flutter-test-machine-final-156.ndjson</x:v>
      </x:c>
      <x:c r="L304" s="9" t="str"/>
      <x:c r="M304" s="9" t="str">
        <x:v>Codex</x:v>
      </x:c>
      <x:c r="N304" s="9" t="str">
        <x:v>Flutter: test/core/services/magic_notifications_service_test.dart :: MagicNotificationsService lists and marks notifications through v3 API</x:v>
      </x:c>
    </x:row>
    <x:row r="305">
      <x:c r="A305" s="9" t="str">
        <x:v>RUN-G-249</x:v>
      </x:c>
      <x:c r="B305" s="9" t="str">
        <x:v>PLT-010</x:v>
      </x:c>
      <x:c r="C305" s="9" t="str">
        <x:v>REGRESSION</x:v>
      </x:c>
      <x:c r="D305" s="9" t="str">
        <x:v>1.2.3+156</x:v>
      </x:c>
      <x:c r="E305" s="9" t="str">
        <x:v>вошедший пользователь</x:v>
      </x:c>
      <x:c r="F305" s="9" t="str">
        <x:v>Flutter</x:v>
      </x:c>
      <x:c r="G305" s="9" t="str">
        <x:v>self</x:v>
      </x:c>
      <x:c r="H305" s="9" t="str">
        <x:v>2026-08-06</x:v>
      </x:c>
      <x:c r="I305" s="9" t="str">
        <x:v>PASS</x:v>
      </x:c>
      <x:c r="J305" s="9" t="str">
        <x:v>Post-fix acceptance passed for Notification preferences: 1 exact named test(s) matched and passed on build 1.2.3+156.</x:v>
      </x:c>
      <x:c r="K305" s="9" t="str">
        <x:v>evidence/flutter-test-machine-final-156.ndjson</x:v>
      </x:c>
      <x:c r="L305" s="9" t="str"/>
      <x:c r="M305" s="9" t="str">
        <x:v>Codex</x:v>
      </x:c>
      <x:c r="N305" s="9" t="str">
        <x:v>Flutter: test/features/manager/notification_preferences_dialog_test.dart :: renders a row per role and saves a toggle</x:v>
      </x:c>
    </x:row>
    <x:row r="306">
      <x:c r="A306" s="9" t="str">
        <x:v>RUN-G-250</x:v>
      </x:c>
      <x:c r="B306" s="9" t="str">
        <x:v>PLT-011</x:v>
      </x:c>
      <x:c r="C306" s="9" t="str">
        <x:v>REGRESSION</x:v>
      </x:c>
      <x:c r="D306" s="9" t="str">
        <x:v>1.2.3+156</x:v>
      </x:c>
      <x:c r="E306" s="9" t="str">
        <x:v>разрешённый пользователь</x:v>
      </x:c>
      <x:c r="F306" s="9" t="str">
        <x:v>Flutter</x:v>
      </x:c>
      <x:c r="G306" s="9" t="str">
        <x:v>file policy</x:v>
      </x:c>
      <x:c r="H306" s="9" t="str">
        <x:v>2026-08-06</x:v>
      </x:c>
      <x:c r="I306" s="9" t="str">
        <x:v>PASS</x:v>
      </x:c>
      <x:c r="J306" s="9" t="str">
        <x:v>Post-fix acceptance passed for File upload: 1 exact named test(s) matched and passed on build 1.2.3+156.</x:v>
      </x:c>
      <x:c r="K306" s="9" t="str">
        <x:v>evidence/flutter-test-machine-final-156.ndjson</x:v>
      </x:c>
      <x:c r="L306" s="9" t="str"/>
      <x:c r="M306" s="9" t="str">
        <x:v>Codex</x:v>
      </x:c>
      <x:c r="N306" s="9" t="str">
        <x:v>Flutter: test/core/widgets/send_file_dialog_test.dart :: keeps dialog open and surfaces upload failure</x:v>
      </x:c>
    </x:row>
    <x:row r="307">
      <x:c r="A307" s="9" t="str">
        <x:v>RUN-G-251</x:v>
      </x:c>
      <x:c r="B307" s="9" t="str">
        <x:v>PLT-012</x:v>
      </x:c>
      <x:c r="C307" s="9" t="str">
        <x:v>REGRESSION</x:v>
      </x:c>
      <x:c r="D307" s="9" t="str">
        <x:v>1.2.3+156</x:v>
      </x:c>
      <x:c r="E307" s="9" t="str">
        <x:v>разрешённый пользователь</x:v>
      </x:c>
      <x:c r="F307" s="9" t="str">
        <x:v>Server</x:v>
      </x:c>
      <x:c r="G307" s="9" t="str">
        <x:v>file policy</x:v>
      </x:c>
      <x:c r="H307" s="9" t="str">
        <x:v>2026-08-06</x:v>
      </x:c>
      <x:c r="I307" s="9" t="str">
        <x:v>PASS</x:v>
      </x:c>
      <x:c r="J307" s="9" t="str">
        <x:v>Post-fix acceptance passed for File download: 1 exact named test(s) matched and passed on build 1.2.3+156.</x:v>
      </x:c>
      <x:c r="K307" s="9" t="str">
        <x:v>evidence/server-test-json-final-156.json</x:v>
      </x:c>
      <x:c r="L307" s="9" t="str"/>
      <x:c r="M307" s="9" t="str">
        <x:v>Codex</x:v>
      </x:c>
      <x:c r="N307" s="9" t="str">
        <x:v>Server: server/src/files/files.service.spec.ts :: FilesService.downloadByToken rejects invalid or expired download tokens</x:v>
      </x:c>
    </x:row>
    <x:row r="308">
      <x:c r="A308" s="9" t="str">
        <x:v>RUN-G-252</x:v>
      </x:c>
      <x:c r="B308" s="9" t="str">
        <x:v>PLT-013</x:v>
      </x:c>
      <x:c r="C308" s="9" t="str">
        <x:v>REGRESSION</x:v>
      </x:c>
      <x:c r="D308" s="9" t="str">
        <x:v>1.2.3+156</x:v>
      </x:c>
      <x:c r="E308" s="9" t="str">
        <x:v>разрешённый owner</x:v>
      </x:c>
      <x:c r="F308" s="9" t="str">
        <x:v>Server</x:v>
      </x:c>
      <x:c r="G308" s="9" t="str">
        <x:v>file policy</x:v>
      </x:c>
      <x:c r="H308" s="9" t="str">
        <x:v>2026-08-06</x:v>
      </x:c>
      <x:c r="I308" s="9" t="str">
        <x:v>PASS</x:v>
      </x:c>
      <x:c r="J308" s="9" t="str">
        <x:v>Post-fix acceptance passed for File delete: 1 exact named test(s) matched and passed on build 1.2.3+156.</x:v>
      </x:c>
      <x:c r="K308" s="9" t="str">
        <x:v>evidence/server-test-json-final-156.json</x:v>
      </x:c>
      <x:c r="L308" s="9" t="str"/>
      <x:c r="M308" s="9" t="str">
        <x:v>Codex</x:v>
      </x:c>
      <x:c r="N308" s="9" t="str">
        <x:v>Server: server/src/files/files.service.spec.ts :: FilesService.delete checks delete policy and soft-deletes the file without erasing storage history</x:v>
      </x:c>
    </x:row>
    <x:row r="309">
      <x:c r="A309" s="9" t="str">
        <x:v>RUN-G-253</x:v>
      </x:c>
      <x:c r="B309" s="9" t="str">
        <x:v>PLT-014</x:v>
      </x:c>
      <x:c r="C309" s="9" t="str">
        <x:v>REGRESSION</x:v>
      </x:c>
      <x:c r="D309" s="9" t="str">
        <x:v>1.2.3+156</x:v>
      </x:c>
      <x:c r="E309" s="9" t="str">
        <x:v>Windows пользователь</x:v>
      </x:c>
      <x:c r="F309" s="9" t="str">
        <x:v>Flutter</x:v>
      </x:c>
      <x:c r="G309" s="9" t="str">
        <x:v>Windows updater</x:v>
      </x:c>
      <x:c r="H309" s="9" t="str">
        <x:v>2026-08-06</x:v>
      </x:c>
      <x:c r="I309" s="9" t="str">
        <x:v>PASS</x:v>
      </x:c>
      <x:c r="J309" s="9" t="str">
        <x:v>Post-fix acceptance passed for Windows update: 1 exact named test(s) matched and passed on build 1.2.3+156.</x:v>
      </x:c>
      <x:c r="K309" s="9" t="str">
        <x:v>evidence/flutter-test-machine-final-156.ndjson</x:v>
      </x:c>
      <x:c r="L309" s="9" t="str"/>
      <x:c r="M309" s="9" t="str">
        <x:v>Codex</x:v>
      </x:c>
      <x:c r="N309" s="9" t="str">
        <x:v>Flutter: test/core/update/windows_update_service_test.dart :: verified PowerShell launch CIM broker verifies launch-command bytes before process create</x:v>
      </x:c>
    </x:row>
    <x:row r="310">
      <x:c r="A310" s="9" t="str">
        <x:v>RUN-G-254</x:v>
      </x:c>
      <x:c r="B310" s="9" t="str">
        <x:v>PLT-015</x:v>
      </x:c>
      <x:c r="C310" s="9" t="str">
        <x:v>REGRESSION</x:v>
      </x:c>
      <x:c r="D310" s="9" t="str">
        <x:v>1.2.3+156</x:v>
      </x:c>
      <x:c r="E310" s="9" t="str">
        <x:v>пользователь</x:v>
      </x:c>
      <x:c r="F310" s="9" t="str">
        <x:v>Flutter</x:v>
      </x:c>
      <x:c r="G310" s="9" t="str">
        <x:v>accessibility</x:v>
      </x:c>
      <x:c r="H310" s="9" t="str">
        <x:v>2026-08-06</x:v>
      </x:c>
      <x:c r="I310" s="9" t="str">
        <x:v>PASS</x:v>
      </x:c>
      <x:c r="J310" s="9" t="str">
        <x:v>Post-fix acceptance passed for Reduced motion: 1 exact named test(s) matched and passed on build 1.2.3+156.</x:v>
      </x:c>
      <x:c r="K310" s="9" t="str">
        <x:v>evidence/flutter-test-machine-final-156.ndjson</x:v>
      </x:c>
      <x:c r="L310" s="9" t="str"/>
      <x:c r="M310" s="9" t="str">
        <x:v>Codex</x:v>
      </x:c>
      <x:c r="N310" s="9" t="str">
        <x:v>Flutter: test/features/v6/visual_baseline_test.dart :: reduced motion resolves token duration to zero</x:v>
      </x:c>
    </x:row>
    <x:row r="311">
      <x:c r="A311" s="9" t="str">
        <x:v>RUN-G-255</x:v>
      </x:c>
      <x:c r="B311" s="9" t="str">
        <x:v>PLT-016</x:v>
      </x:c>
      <x:c r="C311" s="9" t="str">
        <x:v>REGRESSION</x:v>
      </x:c>
      <x:c r="D311" s="9" t="str">
        <x:v>1.2.3+156</x:v>
      </x:c>
      <x:c r="E311" s="9" t="str">
        <x:v>Windows пользователь</x:v>
      </x:c>
      <x:c r="F311" s="9" t="str">
        <x:v>Flutter</x:v>
      </x:c>
      <x:c r="G311" s="9" t="str">
        <x:v>desktop input</x:v>
      </x:c>
      <x:c r="H311" s="9" t="str">
        <x:v>2026-08-06</x:v>
      </x:c>
      <x:c r="I311" s="9" t="str">
        <x:v>PASS</x:v>
      </x:c>
      <x:c r="J311" s="9" t="str">
        <x:v>Post-fix acceptance passed for Desktop scrolling: 1 exact named test(s) matched and passed on build 1.2.3+156.</x:v>
      </x:c>
      <x:c r="K311" s="9" t="str">
        <x:v>evidence/flutter-test-machine-final-156.ndjson</x:v>
      </x:c>
      <x:c r="L311" s="9" t="str"/>
      <x:c r="M311" s="9" t="str">
        <x:v>Codex</x:v>
      </x:c>
      <x:c r="N311" s="9" t="str">
        <x:v>Flutter: test/core/widgets/magic_desktop_scrollbar_test.dart :: nested wheel keeps vertical ownership and Shift moves board</x:v>
      </x:c>
    </x:row>
    <x:row r="312">
      <x:c r="A312" s="9" t="str">
        <x:v>RUN-G-256</x:v>
      </x:c>
      <x:c r="B312" s="9" t="str">
        <x:v>PLT-017</x:v>
      </x:c>
      <x:c r="C312" s="9" t="str">
        <x:v>REGRESSION</x:v>
      </x:c>
      <x:c r="D312" s="9" t="str">
        <x:v>1.2.3+156</x:v>
      </x:c>
      <x:c r="E312" s="9" t="str">
        <x:v>пользователь</x:v>
      </x:c>
      <x:c r="F312" s="9" t="str">
        <x:v>Flutter</x:v>
      </x:c>
      <x:c r="G312" s="9" t="str">
        <x:v>device layout</x:v>
      </x:c>
      <x:c r="H312" s="9" t="str">
        <x:v>2026-08-06</x:v>
      </x:c>
      <x:c r="I312" s="9" t="str">
        <x:v>PASS</x:v>
      </x:c>
      <x:c r="J312" s="9" t="str">
        <x:v>Post-fix acceptance passed for Responsive layout: 6 exact named test(s) matched and passed on build 1.2.3+156.</x:v>
      </x:c>
      <x:c r="K312" s="9" t="str">
        <x:v>evidence/flutter-test-machine-final-156.ndjson</x:v>
      </x:c>
      <x:c r="L312" s="9" t="str"/>
      <x:c r="M312" s="9" t="str">
        <x:v>Codex</x:v>
      </x:c>
      <x:c r="N312" s="9" t="str">
        <x:v>Flutter: test/features/v6/visual_baseline_test.dart :: critical state fits width 360 at 200% text
Flutter: test/features/v6/visual_baseline_test.dart :: critical state fits width 600 at 200% text
Flutter: test/features/v6/visual_baseline_test.dart :: critical state fits width 839 at 200% text
Flutter: test/features/v6/visual_baseline_test.dart :: critical state fits width 840 at 200% text
Flutter: test/features/v6/visual_baseline_test.dart :: critical state fits width 1000 at 200% text
Flutter: test/features/v6/visual_baseline_test.dart :: critical state fits width 1200 at 200% text</x:v>
      </x:c>
    </x:row>
    <x:row r="313">
      <x:c r="A313" s="9" t="str">
        <x:v>RUN-R-001</x:v>
      </x:c>
      <x:c r="B313" s="9" t="str">
        <x:v>AUTH-007</x:v>
      </x:c>
      <x:c r="C313" s="9" t="str">
        <x:v>RETEST</x:v>
      </x:c>
      <x:c r="D313" s="9" t="str">
        <x:v>1.2.3+156</x:v>
      </x:c>
      <x:c r="E313" s="9" t="str">
        <x:v>Director magic5 → Manager magic4 → Director magic5</x:v>
      </x:c>
      <x:c r="F313" s="9" t="str">
        <x:v>Android API 35</x:v>
      </x:c>
      <x:c r="G313" s="9" t="str">
        <x:v>account switch</x:v>
      </x:c>
      <x:c r="H313" s="9" t="str">
        <x:v>2026-08-06</x:v>
      </x:c>
      <x:c r="I313" s="9" t="str">
        <x:v>PASS</x:v>
      </x:c>
      <x:c r="J313" s="9" t="str">
        <x:v>Two logout/login switches completed in the same process with exact credentials; each target workspace opened and no field was silently cleared.</x:v>
      </x:c>
      <x:c r="K313" s="9" t="str">
        <x:v>evidence/postfix-login-manager.txt; evidence/postfix-login-director.txt</x:v>
      </x:c>
      <x:c r="L313" s="9" t="str">
        <x:v>ERR-001</x:v>
      </x:c>
      <x:c r="M313" s="9" t="str">
        <x:v>Codex</x:v>
      </x:c>
      <x:c r="N313" s="9" t="str">
        <x:v>Release-gate completion is bound to the access token that initiated it.</x:v>
      </x:c>
    </x:row>
    <x:row r="314">
      <x:c r="A314" s="9" t="str">
        <x:v>RUN-R-002</x:v>
      </x:c>
      <x:c r="B314" s="9" t="str">
        <x:v>AUTH-006</x:v>
      </x:c>
      <x:c r="C314" s="9" t="str">
        <x:v>RETEST</x:v>
      </x:c>
      <x:c r="D314" s="9" t="str">
        <x:v>1.2.3+156</x:v>
      </x:c>
      <x:c r="E314" s="9" t="str">
        <x:v>authenticated actor</x:v>
      </x:c>
      <x:c r="F314" s="9" t="str">
        <x:v>Flutter router test + Android API 35</x:v>
      </x:c>
      <x:c r="G314" s="9" t="str">
        <x:v>same-process relogin</x:v>
      </x:c>
      <x:c r="H314" s="9" t="str">
        <x:v>2026-08-06</x:v>
      </x:c>
      <x:c r="I314" s="9" t="str">
        <x:v>PASS</x:v>
      </x:c>
      <x:c r="J314" s="9" t="str">
        <x:v>Router tests prove stale gate 401 responses cannot sign out a newer session; the installed release also preserved the current valid session across update/start.</x:v>
      </x:c>
      <x:c r="K314" s="9" t="str">
        <x:v>evidence/flutter-test-full-final-156.txt; evidence/postfix-release156-ready.txt</x:v>
      </x:c>
      <x:c r="L314" s="9" t="str">
        <x:v>ERR-001</x:v>
      </x:c>
      <x:c r="M314" s="9" t="str">
        <x:v>Codex</x:v>
      </x:c>
      <x:c r="N314" s="9" t="str">
        <x:v>Covers same-account race at the shared router boundary.</x:v>
      </x:c>
    </x:row>
    <x:row r="315">
      <x:c r="A315" s="9" t="str">
        <x:v>RUN-R-003</x:v>
      </x:c>
      <x:c r="B315" s="9" t="str">
        <x:v>SCH-002</x:v>
      </x:c>
      <x:c r="C315" s="9" t="str">
        <x:v>RETEST</x:v>
      </x:c>
      <x:c r="D315" s="9" t="str">
        <x:v>1.2.3+156</x:v>
      </x:c>
      <x:c r="E315" s="9" t="str">
        <x:v>Director / magic5</x:v>
      </x:c>
      <x:c r="F315" s="9" t="str">
        <x:v>Android API 35</x:v>
      </x:c>
      <x:c r="G315" s="9" t="str">
        <x:v>Sokol / 3–9 August 2026</x:v>
      </x:c>
      <x:c r="H315" s="9" t="str">
        <x:v>2026-08-06</x:v>
      </x:c>
      <x:c r="I315" s="9" t="str">
        <x:v>PASS</x:v>
      </x:c>
      <x:c r="J315" s="9" t="str">
        <x:v>Week view allocates simultaneous lessons into non-overlapping side-by-side lanes; three 12:00 cards remained independently readable and focusable.</x:v>
      </x:c>
      <x:c r="K315" s="9" t="str">
        <x:v>evidence/postfix-schedule-week-overlap.png; evidence/postfix-schedule-week-overlap.txt</x:v>
      </x:c>
      <x:c r="L315" s="9" t="str">
        <x:v>ERR-002</x:v>
      </x:c>
      <x:c r="M315" s="9" t="str">
        <x:v>Codex</x:v>
      </x:c>
      <x:c r="N315" s="9" t="str">
        <x:v>Widget test covers interval overlap allocation and drag feedback width.</x:v>
      </x:c>
    </x:row>
    <x:row r="316">
      <x:c r="A316" s="9" t="str">
        <x:v>RUN-R-004</x:v>
      </x:c>
      <x:c r="B316" s="9" t="str">
        <x:v>SCH-008</x:v>
      </x:c>
      <x:c r="C316" s="9" t="str">
        <x:v>RETEST</x:v>
      </x:c>
      <x:c r="D316" s="9" t="str">
        <x:v>1.2.3+156</x:v>
      </x:c>
      <x:c r="E316" s="9" t="str">
        <x:v>Director / magic5</x:v>
      </x:c>
      <x:c r="F316" s="9" t="str">
        <x:v>Android API 35 + Flutter widget</x:v>
      </x:c>
      <x:c r="G316" s="9" t="str">
        <x:v>Sokol / Week search</x:v>
      </x:c>
      <x:c r="H316" s="9" t="str">
        <x:v>2026-08-06</x:v>
      </x:c>
      <x:c r="I316" s="9" t="str">
        <x:v>PASS</x:v>
      </x:c>
      <x:c r="J316" s="9" t="str">
        <x:v>The existing green-match/gray-non-match rule now composes with separate overlap lanes, preserving readable search context in Week view.</x:v>
      </x:c>
      <x:c r="K316" s="9" t="str">
        <x:v>evidence/postfix-schedule-week-overlap.png; evidence/flutter-test-full-final-156.txt</x:v>
      </x:c>
      <x:c r="L316" s="9" t="str">
        <x:v>ERR-002</x:v>
      </x:c>
      <x:c r="M316" s="9" t="str">
        <x:v>Codex</x:v>
      </x:c>
      <x:c r="N316" s="9" t="str">
        <x:v>Baseline color behavior plus post-fix lane regression.</x:v>
      </x:c>
    </x:row>
    <x:row r="317">
      <x:c r="A317" s="9" t="str">
        <x:v>RUN-R-005</x:v>
      </x:c>
      <x:c r="B317" s="9" t="str">
        <x:v>SCH-010</x:v>
      </x:c>
      <x:c r="C317" s="9" t="str">
        <x:v>RETEST</x:v>
      </x:c>
      <x:c r="D317" s="9" t="str">
        <x:v>1.2.3+156</x:v>
      </x:c>
      <x:c r="E317" s="9" t="str">
        <x:v>Director / magic5</x:v>
      </x:c>
      <x:c r="F317" s="9" t="str">
        <x:v>Android API 35</x:v>
      </x:c>
      <x:c r="G317" s="9" t="str">
        <x:v>Sokol / no-match query</x:v>
      </x:c>
      <x:c r="H317" s="9" t="str">
        <x:v>2026-08-06</x:v>
      </x:c>
      <x:c r="I317" s="9" t="str">
        <x:v>PASS</x:v>
      </x:c>
      <x:c r="J317" s="9" t="str">
        <x:v>Query zzzzzz kept the calendar mounted, dimmed non-matches and explicitly displayed `Совпадений: 0`.</x:v>
      </x:c>
      <x:c r="K317" s="9" t="str">
        <x:v>evidence/postfix-schedule-search-zero.txt</x:v>
      </x:c>
      <x:c r="L317" s="9" t="str">
        <x:v>ERR-003</x:v>
      </x:c>
      <x:c r="M317" s="9" t="str">
        <x:v>Codex</x:v>
      </x:c>
      <x:c r="N317" s="9" t="str">
        <x:v>No route or input restart.</x:v>
      </x:c>
    </x:row>
    <x:row r="318">
      <x:c r="A318" s="9" t="str">
        <x:v>RUN-R-006</x:v>
      </x:c>
      <x:c r="B318" s="9" t="str">
        <x:v>NAV-003</x:v>
      </x:c>
      <x:c r="C318" s="9" t="str">
        <x:v>RETEST</x:v>
      </x:c>
      <x:c r="D318" s="9" t="str">
        <x:v>1.2.3+156</x:v>
      </x:c>
      <x:c r="E318" s="9" t="str">
        <x:v>Teacher / magic2</x:v>
      </x:c>
      <x:c r="F318" s="9" t="str">
        <x:v>Android API 35</x:v>
      </x:c>
      <x:c r="G318" s="9" t="str">
        <x:v>assigned read-only schedule</x:v>
      </x:c>
      <x:c r="H318" s="9" t="str">
        <x:v>2026-08-06</x:v>
      </x:c>
      <x:c r="I318" s="9" t="str">
        <x:v>PASS</x:v>
      </x:c>
      <x:c r="J318" s="9" t="str">
        <x:v>Teacher retained Day/Week read-only schedule and assigned Students; long-press/drag write hints were absent.</x:v>
      </x:c>
      <x:c r="K318" s="9" t="str">
        <x:v>evidence/postfix-teacher-schedule-readonly.txt</x:v>
      </x:c>
      <x:c r="L318" s="9" t="str">
        <x:v>ERR-004</x:v>
      </x:c>
      <x:c r="M318" s="9" t="str">
        <x:v>Codex</x:v>
      </x:c>
      <x:c r="N318" s="9" t="str">
        <x:v>Capability projection now covers the legend as well as actions.</x:v>
      </x:c>
    </x:row>
    <x:row r="319">
      <x:c r="A319" s="9" t="str">
        <x:v>RUN-R-007</x:v>
      </x:c>
      <x:c r="B319" s="9" t="str">
        <x:v>CRM-025</x:v>
      </x:c>
      <x:c r="C319" s="9" t="str">
        <x:v>RETEST</x:v>
      </x:c>
      <x:c r="D319" s="9" t="str">
        <x:v>1.2.3+156</x:v>
      </x:c>
      <x:c r="E319" s="9" t="str">
        <x:v>Teacher / magic2</x:v>
      </x:c>
      <x:c r="F319" s="9" t="str">
        <x:v>Android API 35</x:v>
      </x:c>
      <x:c r="G319" s="9" t="str">
        <x:v>assigned student</x:v>
      </x:c>
      <x:c r="H319" s="9" t="str">
        <x:v>2026-08-06</x:v>
      </x:c>
      <x:c r="I319" s="9" t="str">
        <x:v>PASS</x:v>
      </x:c>
      <x:c r="J319" s="9" t="str">
        <x:v>Student header and lessons used Russian lifecycle labels and `dd.MM.yyyy HH:mm` dates; raw ISO and enum values were absent.</x:v>
      </x:c>
      <x:c r="K319" s="9" t="str">
        <x:v>evidence/postfix-teacher-client-card.txt</x:v>
      </x:c>
      <x:c r="L319" s="9" t="str">
        <x:v>ERR-005</x:v>
      </x:c>
      <x:c r="M319" s="9" t="str">
        <x:v>Codex</x:v>
      </x:c>
      <x:c r="N319" s="9" t="str">
        <x:v>Actor-safe tabs remained unchanged.</x:v>
      </x:c>
    </x:row>
    <x:row r="320">
      <x:c r="A320" s="9" t="str">
        <x:v>RUN-R-008</x:v>
      </x:c>
      <x:c r="B320" s="9" t="str">
        <x:v>NAV-005</x:v>
      </x:c>
      <x:c r="C320" s="9" t="str">
        <x:v>RETEST</x:v>
      </x:c>
      <x:c r="D320" s="9" t="str">
        <x:v>1.2.3+156</x:v>
      </x:c>
      <x:c r="E320" s="9" t="str">
        <x:v>Manager / magic4</x:v>
      </x:c>
      <x:c r="F320" s="9" t="str">
        <x:v>Android API 35</x:v>
      </x:c>
      <x:c r="G320" s="9" t="str">
        <x:v>manager branch scope</x:v>
      </x:c>
      <x:c r="H320" s="9" t="str">
        <x:v>2026-08-06</x:v>
      </x:c>
      <x:c r="I320" s="9" t="str">
        <x:v>PASS</x:v>
      </x:c>
      <x:c r="J320" s="9" t="str">
        <x:v>Manager received Chat/Overview/Schedule/Clients plus permitted Tasks/Analytics/Settings, while school-wide revenue/debt/expected-payment metrics were absent.</x:v>
      </x:c>
      <x:c r="K320" s="9" t="str">
        <x:v>evidence/postfix-manager-overview.txt; evidence/postfix-manager-more.txt</x:v>
      </x:c>
      <x:c r="L320" s="9" t="str">
        <x:v>ERR-006</x:v>
      </x:c>
      <x:c r="M320" s="9" t="str">
        <x:v>Codex</x:v>
      </x:c>
      <x:c r="N320" s="9" t="str">
        <x:v>Operational analytics remained available.</x:v>
      </x:c>
    </x:row>
    <x:row r="321">
      <x:c r="A321" s="9" t="str">
        <x:v>RUN-R-009</x:v>
      </x:c>
      <x:c r="B321" s="9" t="str">
        <x:v>ANA-001</x:v>
      </x:c>
      <x:c r="C321" s="9" t="str">
        <x:v>RETEST</x:v>
      </x:c>
      <x:c r="D321" s="9" t="str">
        <x:v>1.2.3+156</x:v>
      </x:c>
      <x:c r="E321" s="9" t="str">
        <x:v>Manager / magic4</x:v>
      </x:c>
      <x:c r="F321" s="9" t="str">
        <x:v>Android API 35</x:v>
      </x:c>
      <x:c r="G321" s="9" t="str">
        <x:v>permitted branches</x:v>
      </x:c>
      <x:c r="H321" s="9" t="str">
        <x:v>2026-08-06</x:v>
      </x:c>
      <x:c r="I321" s="9" t="str">
        <x:v>PASS</x:v>
      </x:c>
      <x:c r="J321" s="9" t="str">
        <x:v>Unified Analytics opened on compact Android with lesson and funnel sections only; no school-finance section was mounted.</x:v>
      </x:c>
      <x:c r="K321" s="9" t="str">
        <x:v>evidence/postfix-manager-analytics.txt</x:v>
      </x:c>
      <x:c r="L321" s="9" t="str">
        <x:v>ERR-006</x:v>
      </x:c>
      <x:c r="M321" s="9" t="str">
        <x:v>Codex</x:v>
      </x:c>
      <x:c r="N321" s="9" t="str">
        <x:v>One dashboard remains canonical.</x:v>
      </x:c>
    </x:row>
    <x:row r="322">
      <x:c r="A322" s="9" t="str">
        <x:v>RUN-R-010</x:v>
      </x:c>
      <x:c r="B322" s="9" t="str">
        <x:v>ANA-010</x:v>
      </x:c>
      <x:c r="C322" s="9" t="str">
        <x:v>RETEST</x:v>
      </x:c>
      <x:c r="D322" s="9" t="str">
        <x:v>1.2.3+156</x:v>
      </x:c>
      <x:c r="E322" s="9" t="str">
        <x:v>Manager / magic4</x:v>
      </x:c>
      <x:c r="F322" s="9" t="str">
        <x:v>Android API 35 + Nest/Jest</x:v>
      </x:c>
      <x:c r="G322" s="9" t="str">
        <x:v>hard deny</x:v>
      </x:c>
      <x:c r="H322" s="9" t="str">
        <x:v>2026-08-06</x:v>
      </x:c>
      <x:c r="I322" s="9" t="str">
        <x:v>PASS</x:v>
      </x:c>
      <x:c r="J322" s="9" t="str">
        <x:v>Manager UI omitted debt/balance/revenue and backend dashboard projection skips school-finance SQL/source URLs when capability is absent.</x:v>
      </x:c>
      <x:c r="K322" s="9" t="str">
        <x:v>evidence/postfix-manager-overview.txt; evidence/server-test-full-postfix.txt</x:v>
      </x:c>
      <x:c r="L322" s="9" t="str">
        <x:v>ERR-006</x:v>
      </x:c>
      <x:c r="M322" s="9" t="str">
        <x:v>Codex</x:v>
      </x:c>
      <x:c r="N322" s="9" t="str">
        <x:v>UI and provider/request boundary both fail closed.</x:v>
      </x:c>
    </x:row>
    <x:row r="323">
      <x:c r="A323" s="9" t="str">
        <x:v>RUN-R-011</x:v>
      </x:c>
      <x:c r="B323" s="9" t="str">
        <x:v>NAV-006</x:v>
      </x:c>
      <x:c r="C323" s="9" t="str">
        <x:v>RETEST</x:v>
      </x:c>
      <x:c r="D323" s="9" t="str">
        <x:v>1.2.3+156</x:v>
      </x:c>
      <x:c r="E323" s="9" t="str">
        <x:v>Director / magic5</x:v>
      </x:c>
      <x:c r="F323" s="9" t="str">
        <x:v>Android API 35</x:v>
      </x:c>
      <x:c r="G323" s="9" t="str">
        <x:v>school scope</x:v>
      </x:c>
      <x:c r="H323" s="9" t="str">
        <x:v>2026-08-06</x:v>
      </x:c>
      <x:c r="I323" s="9" t="str">
        <x:v>PASS</x:v>
      </x:c>
      <x:c r="J323" s="9" t="str">
        <x:v>Director Overview is titled `Сводка`; tapping Revenue opened compact Analytics with school-wide finance export and preserved the Director scope.</x:v>
      </x:c>
      <x:c r="K323" s="9" t="str">
        <x:v>evidence/postfix-director-overview.txt; evidence/postfix-director-kpi-navigation.txt</x:v>
      </x:c>
      <x:c r="L323" s="9" t="str">
        <x:v>ERR-007; ERR-008</x:v>
      </x:c>
      <x:c r="M323" s="9" t="str">
        <x:v>Codex</x:v>
      </x:c>
      <x:c r="N323" s="9" t="str">
        <x:v>Analytics is also reachable from compact More.</x:v>
      </x:c>
    </x:row>
    <x:row r="324">
      <x:c r="A324" s="9" t="str">
        <x:v>RUN-R-012</x:v>
      </x:c>
      <x:c r="B324" s="9" t="str">
        <x:v>CFG-025</x:v>
      </x:c>
      <x:c r="C324" s="9" t="str">
        <x:v>RETEST</x:v>
      </x:c>
      <x:c r="D324" s="9" t="str">
        <x:v>1.2.3+156</x:v>
      </x:c>
      <x:c r="E324" s="9" t="str">
        <x:v>Director / magic5</x:v>
      </x:c>
      <x:c r="F324" s="9" t="str">
        <x:v>Android API 35</x:v>
      </x:c>
      <x:c r="G324" s="9" t="str">
        <x:v>people manage</x:v>
      </x:c>
      <x:c r="H324" s="9" t="str">
        <x:v>2026-08-06</x:v>
      </x:c>
      <x:c r="I324" s="9" t="str">
        <x:v>PASS</x:v>
      </x:c>
      <x:c r="J324" s="9" t="str">
        <x:v>Release 156 renders `Работает` and hides synthetic migration email for an unlinked employee even while connected to the older remote backend.</x:v>
      </x:c>
      <x:c r="K324" s="9" t="str">
        <x:v>evidence/postfix-settings-staff-release156.txt</x:v>
      </x:c>
      <x:c r="L324" s="9" t="str">
        <x:v>ERR-009</x:v>
      </x:c>
      <x:c r="M324" s="9" t="str">
        <x:v>Codex</x:v>
      </x:c>
      <x:c r="N324" s="9" t="str">
        <x:v>Backend projection is fixed too; client guard keeps mixed-version rollout clean.</x:v>
      </x:c>
    </x:row>
    <x:row r="325">
      <x:c r="A325" s="9" t="str">
        <x:v>RUN-R-013</x:v>
      </x:c>
      <x:c r="B325" s="9" t="str">
        <x:v>CFG-009</x:v>
      </x:c>
      <x:c r="C325" s="9" t="str">
        <x:v>RETEST</x:v>
      </x:c>
      <x:c r="D325" s="9" t="str">
        <x:v>1.2.3+156</x:v>
      </x:c>
      <x:c r="E325" s="9" t="str">
        <x:v>Director / magic5</x:v>
      </x:c>
      <x:c r="F325" s="9" t="str">
        <x:v>Android API 35 + Nest/Jest</x:v>
      </x:c>
      <x:c r="G325" s="9" t="str">
        <x:v>group read</x:v>
      </x:c>
      <x:c r="H325" s="9" t="str">
        <x:v>2026-08-06</x:v>
      </x:c>
      <x:c r="I325" s="9" t="str">
        <x:v>PASS</x:v>
      </x:c>
      <x:c r="J325" s="9" t="str">
        <x:v>Every Group card now shows `Учеников: N`; backend list projection calculates active membership count and the Flutter mapper preserves it.</x:v>
      </x:c>
      <x:c r="K325" s="9" t="str">
        <x:v>evidence/postfix-settings-groups.txt; evidence/server-test-full-postfix.txt</x:v>
      </x:c>
      <x:c r="L325" s="9" t="str">
        <x:v>ERR-010</x:v>
      </x:c>
      <x:c r="M325" s="9" t="str">
        <x:v>Codex</x:v>
      </x:c>
      <x:c r="N325" s="9" t="str">
        <x:v>Current remote backend has no count field yet, so the compatibility default is zero until server rollout.</x:v>
      </x:c>
    </x:row>
    <x:row r="326">
      <x:c r="A326" s="9" t="str">
        <x:v>RUN-R-014</x:v>
      </x:c>
      <x:c r="B326" s="9" t="str">
        <x:v>NAV-018</x:v>
      </x:c>
      <x:c r="C326" s="9" t="str">
        <x:v>RETEST</x:v>
      </x:c>
      <x:c r="D326" s="9" t="str">
        <x:v>1.2.3+156</x:v>
      </x:c>
      <x:c r="E326" s="9" t="str">
        <x:v>Director / magic5</x:v>
      </x:c>
      <x:c r="F326" s="9" t="str">
        <x:v>Android API 35 + Flutter semantics</x:v>
      </x:c>
      <x:c r="G326" s="9" t="str">
        <x:v>accessibility</x:v>
      </x:c>
      <x:c r="H326" s="9" t="str">
        <x:v>2026-08-06</x:v>
      </x:c>
      <x:c r="I326" s="9" t="str">
        <x:v>PASS</x:v>
      </x:c>
      <x:c r="J326" s="9" t="str">
        <x:v>Weekday switches expose labels such as `Понедельник: выключено`; settings search fields retain visible labels and semantic tests pass.</x:v>
      </x:c>
      <x:c r="K326" s="9" t="str">
        <x:v>evidence/postfix-settings-schedule.txt; evidence/flutter-test-full-final-156.txt</x:v>
      </x:c>
      <x:c r="L326" s="9" t="str">
        <x:v>ERR-011</x:v>
      </x:c>
      <x:c r="M326" s="9" t="str">
        <x:v>Codex</x:v>
      </x:c>
      <x:c r="N326" s="9" t="str">
        <x:v>Focus order and control state remain native Flutter semantics.</x:v>
      </x:c>
    </x:row>
  </x:sheetData>
  <x:dataValidations count="3">
    <x:dataValidation type="list" sqref="C2:C700">
      <x:formula1>"BASELINE,RETEST,REGRESSION"</x:formula1>
    </x:dataValidation>
    <x:dataValidation type="list" sqref="F2:F700">
      <x:formula1>"Windows,Android,Flutter,Server,Flutter + Server,Android API 35,Android API 35 + Flutter widget,Android API 35 + Nest/Jest,Android API 35 + Flutter semantics,Flutter router test + Android API 35"</x:formula1>
    </x:dataValidation>
    <x:dataValidation type="list" sqref="I2:I700">
      <x:formula1>"PASS,FAIL,BLOCKED"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145bba4c2042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18" hidden="0" customWidth="1"/>
    <x:col min="5" max="5" width="12" hidden="0" customWidth="1"/>
    <x:col min="6" max="6" width="16" hidden="0" customWidth="1"/>
    <x:col min="7" max="7" width="34" hidden="0" customWidth="1"/>
    <x:col min="8" max="8" width="42" hidden="0" customWidth="1"/>
    <x:col min="9" max="9" width="42" hidden="0" customWidth="1"/>
    <x:col min="10" max="10" width="42" hidden="0" customWidth="1"/>
    <x:col min="11" max="11" width="14" hidden="0" customWidth="1"/>
    <x:col min="12" max="12" width="14" hidden="0" customWidth="1"/>
    <x:col min="13" max="13" width="28" hidden="0" customWidth="1"/>
    <x:col min="14" max="14" width="16" hidden="0" customWidth="1"/>
    <x:col min="15" max="15" width="32" hidden="0" customWidth="1"/>
  </x:cols>
  <x:sheetData>
    <x:row r="1" ht="32" customHeight="1">
      <x:c r="A1" s="5" t="str">
        <x:v>Error ID</x:v>
      </x:c>
      <x:c r="B1" s="5" t="str">
        <x:v>Story ID</x:v>
      </x:c>
      <x:c r="C1" s="5" t="str">
        <x:v>System</x:v>
      </x:c>
      <x:c r="D1" s="5" t="str">
        <x:v>Category</x:v>
      </x:c>
      <x:c r="E1" s="5" t="str">
        <x:v>Severity</x:v>
      </x:c>
      <x:c r="F1" s="5" t="str">
        <x:v>Status</x:v>
      </x:c>
      <x:c r="G1" s="5" t="str">
        <x:v>Summary</x:v>
      </x:c>
      <x:c r="H1" s="5" t="str">
        <x:v>Expected</x:v>
      </x:c>
      <x:c r="I1" s="5" t="str">
        <x:v>Actual</x:v>
      </x:c>
      <x:c r="J1" s="5" t="str">
        <x:v>Root Cause</x:v>
      </x:c>
      <x:c r="K1" s="5" t="str">
        <x:v>Fix Commit</x:v>
      </x:c>
      <x:c r="L1" s="5" t="str">
        <x:v>Retest Run</x:v>
      </x:c>
      <x:c r="M1" s="5" t="str">
        <x:v>Evidence Link</x:v>
      </x:c>
      <x:c r="N1" s="5" t="str">
        <x:v>Owner</x:v>
      </x:c>
      <x:c r="O1" s="5" t="str">
        <x:v>Notes</x:v>
      </x:c>
    </x:row>
    <x:row r="2">
      <x:c r="A2" s="9" t="str">
        <x:v>ERR-001</x:v>
      </x:c>
      <x:c r="B2" s="9" t="str">
        <x:v>AUTH-006; AUTH-007</x:v>
      </x:c>
      <x:c r="C2" s="9" t="str">
        <x:v>Session &amp; Account</x:v>
      </x:c>
      <x:c r="D2" s="9" t="str">
        <x:v>AUTH</x:v>
      </x:c>
      <x:c r="E2" s="9" t="str">
        <x:v>CRITICAL</x:v>
      </x:c>
      <x:c r="F2" s="9" t="str">
        <x:v>RETEST PASS</x:v>
      </x:c>
      <x:c r="G2" s="9" t="str">
        <x:v>Повторный вход после logout молча возвращал на пустой Login</x:v>
      </x:c>
      <x:c r="H2" s="9" t="str">
        <x:v>Тот же или другой валидный аккаунт открывает свой workspace; форма не сбрасывается без ошибки.</x:v>
      </x:c>
      <x:c r="I2" s="9" t="str">
        <x:v>До исправления stale release-gate completion очищал уже новую session; после исправления два последовательных account switch проходят в одном процессе.</x:v>
      </x:c>
      <x:c r="J2" s="9" t="str">
        <x:v>Release-gate result/error не был связан с access token, который запустил запрос; старый 401 мог вызвать signOut новой session.</x:v>
      </x:c>
      <x:c r="K2" s="9" t="str">
        <x:v>6f5bffb</x:v>
      </x:c>
      <x:c r="L2" s="9" t="str">
        <x:v>RUN-R-001; RUN-R-002</x:v>
      </x:c>
      <x:c r="M2" s="9" t="str">
        <x:v>evidence/postfix-login-director.txt</x:v>
      </x:c>
      <x:c r="N2" s="9" t="str">
        <x:v>Codex</x:v>
      </x:c>
      <x:c r="O2" s="9" t="str">
        <x:v>Исправлено на общей router/session boundary.</x:v>
      </x:c>
    </x:row>
    <x:row r="3">
      <x:c r="A3" s="9" t="str">
        <x:v>ERR-002</x:v>
      </x:c>
      <x:c r="B3" s="9" t="str">
        <x:v>SCH-002; SCH-008</x:v>
      </x:c>
      <x:c r="C3" s="9" t="str">
        <x:v>Schedule</x:v>
      </x:c>
      <x:c r="D3" s="9" t="str">
        <x:v>UX</x:v>
      </x:c>
      <x:c r="E3" s="9" t="str">
        <x:v>HIGH</x:v>
      </x:c>
      <x:c r="F3" s="9" t="str">
        <x:v>RETEST PASS</x:v>
      </x:c>
      <x:c r="G3" s="9" t="str">
        <x:v>Одновременные занятия полностью перекрывались в недельном виде</x:v>
      </x:c>
      <x:c r="H3" s="9" t="str">
        <x:v>Каждое занятие остаётся читаемым и доступным; пересекающиеся интервалы распределяются по отдельным lanes.</x:v>
      </x:c>
      <x:c r="I3" s="9" t="str">
        <x:v>Три одновременных занятия теперь занимают отдельные соседние прямоугольники и остаются focusable.</x:v>
      </x:c>
      <x:c r="J3" s="9" t="str">
        <x:v>Day column назначал каждому interval всю ширину; отсутствовал interval lane allocation.</x:v>
      </x:c>
      <x:c r="K3" s="9" t="str">
        <x:v>6f5bffb</x:v>
      </x:c>
      <x:c r="L3" s="9" t="str">
        <x:v>RUN-R-003; RUN-R-004</x:v>
      </x:c>
      <x:c r="M3" s="9" t="str">
        <x:v>evidence/postfix-schedule-week-overlap.png</x:v>
      </x:c>
      <x:c r="N3" s="9" t="str">
        <x:v>Codex</x:v>
      </x:c>
      <x:c r="O3" s="9" t="str">
        <x:v>Один allocator применяется к карточкам и drag feedback.</x:v>
      </x:c>
    </x:row>
    <x:row r="4">
      <x:c r="A4" s="9" t="str">
        <x:v>ERR-003</x:v>
      </x:c>
      <x:c r="B4" s="9" t="str">
        <x:v>SCH-010</x:v>
      </x:c>
      <x:c r="C4" s="9" t="str">
        <x:v>Schedule</x:v>
      </x:c>
      <x:c r="D4" s="9" t="str">
        <x:v>UX</x:v>
      </x:c>
      <x:c r="E4" s="9" t="str">
        <x:v>MEDIUM</x:v>
      </x:c>
      <x:c r="F4" s="9" t="str">
        <x:v>RETEST PASS</x:v>
      </x:c>
      <x:c r="G4" s="9" t="str">
        <x:v>Поиск без совпадений не сообщал, что найдено ноль занятий</x:v>
      </x:c>
      <x:c r="H4" s="9" t="str">
        <x:v>При нулевом результате календарь остаётся на месте и явно показывает count=0.</x:v>
      </x:c>
      <x:c r="I4" s="9" t="str">
        <x:v>Запрос zzzzzz показывает `Совпадений: 0`, не перезапуская route.</x:v>
      </x:c>
      <x:c r="J4" s="9" t="str">
        <x:v>Search banner не выводил matchCount и не имел явной zero branch.</x:v>
      </x:c>
      <x:c r="K4" s="9" t="str">
        <x:v>6f5bffb</x:v>
      </x:c>
      <x:c r="L4" s="9" t="str">
        <x:v>RUN-R-005</x:v>
      </x:c>
      <x:c r="M4" s="9" t="str">
        <x:v>evidence/postfix-schedule-search-zero.txt</x:v>
      </x:c>
      <x:c r="N4" s="9" t="str">
        <x:v>Codex</x:v>
      </x:c>
      <x:c r="O4" s="9" t="str">
        <x:v>Цветовая логика поиска сохранена.</x:v>
      </x:c>
    </x:row>
    <x:row r="5">
      <x:c r="A5" s="9" t="str">
        <x:v>ERR-004</x:v>
      </x:c>
      <x:c r="B5" s="9" t="str">
        <x:v>NAV-003</x:v>
      </x:c>
      <x:c r="C5" s="9" t="str">
        <x:v>App Experience</x:v>
      </x:c>
      <x:c r="D5" s="9" t="str">
        <x:v>UX</x:v>
      </x:c>
      <x:c r="E5" s="9" t="str">
        <x:v>MEDIUM</x:v>
      </x:c>
      <x:c r="F5" s="9" t="str">
        <x:v>RETEST PASS</x:v>
      </x:c>
      <x:c r="G5" s="9" t="str">
        <x:v>Read-only преподаватель видел подсказки жестов изменения расписания</x:v>
      </x:c>
      <x:c r="H5" s="9" t="str">
        <x:v>Teacher видит назначенное расписание без mutation actions и ложных write affordances.</x:v>
      </x:c>
      <x:c r="I5" s="9" t="str">
        <x:v>В Teacher Day/Week подсказки long-press/drag отсутствуют.</x:v>
      </x:c>
      <x:c r="J5" s="9" t="str">
        <x:v>Общая schedule legend монтировалась без проверки canWrite.</x:v>
      </x:c>
      <x:c r="K5" s="9" t="str">
        <x:v>6f5bffb</x:v>
      </x:c>
      <x:c r="L5" s="9" t="str">
        <x:v>RUN-R-006</x:v>
      </x:c>
      <x:c r="M5" s="9" t="str">
        <x:v>evidence/postfix-teacher-schedule-readonly.txt</x:v>
      </x:c>
      <x:c r="N5" s="9" t="str">
        <x:v>Codex</x:v>
      </x:c>
      <x:c r="O5" s="9" t="str">
        <x:v>Capability guard поставлен на общий legend.</x:v>
      </x:c>
    </x:row>
    <x:row r="6">
      <x:c r="A6" s="9" t="str">
        <x:v>ERR-005</x:v>
      </x:c>
      <x:c r="B6" s="9" t="str">
        <x:v>CRM-025</x:v>
      </x:c>
      <x:c r="C6" s="9" t="str">
        <x:v>CRM Clients</x:v>
      </x:c>
      <x:c r="D6" s="9" t="str">
        <x:v>UX</x:v>
      </x:c>
      <x:c r="E6" s="9" t="str">
        <x:v>MEDIUM</x:v>
      </x:c>
      <x:c r="F6" s="9" t="str">
        <x:v>RETEST PASS</x:v>
      </x:c>
      <x:c r="G6" s="9" t="str">
        <x:v>Карточка ученика преподавателя показывала ISO-даты и английские статусы</x:v>
      </x:c>
      <x:c r="H6" s="9" t="str">
        <x:v>Lessons/Homework используют локализованные даты, время и русские human labels.</x:v>
      </x:c>
      <x:c r="I6" s="9" t="str">
        <x:v>Карточка показывает `Активен`, `Запланировано` и даты вида 05.09.2027 12:00.</x:v>
      </x:c>
      <x:c r="J6" s="9" t="str">
        <x:v>Teacher card напрямую выводила raw DTO timestamp/status.</x:v>
      </x:c>
      <x:c r="K6" s="9" t="str">
        <x:v>6f5bffb</x:v>
      </x:c>
      <x:c r="L6" s="9" t="str">
        <x:v>RUN-R-007</x:v>
      </x:c>
      <x:c r="M6" s="9" t="str">
        <x:v>evidence/postfix-teacher-client-card.txt</x:v>
      </x:c>
      <x:c r="N6" s="9" t="str">
        <x:v>Codex</x:v>
      </x:c>
      <x:c r="O6" s="9" t="str">
        <x:v>Scope и набор вкладок не менялись.</x:v>
      </x:c>
    </x:row>
    <x:row r="7">
      <x:c r="A7" s="9" t="str">
        <x:v>ERR-006</x:v>
      </x:c>
      <x:c r="B7" s="9" t="str">
        <x:v>NAV-005; ANA-001; ANA-010</x:v>
      </x:c>
      <x:c r="C7" s="9" t="str">
        <x:v>Dashboard &amp; Analytics</x:v>
      </x:c>
      <x:c r="D7" s="9" t="str">
        <x:v>RBAC</x:v>
      </x:c>
      <x:c r="E7" s="9" t="str">
        <x:v>HIGH</x:v>
      </x:c>
      <x:c r="F7" s="9" t="str">
        <x:v>RETEST PASS</x:v>
      </x:c>
      <x:c r="G7" s="9" t="str">
        <x:v>Управляющему показывалась запрещённая общешкольная аналитика долгов</x:v>
      </x:c>
      <x:c r="H7" s="9" t="str">
        <x:v>Manager видит operational dashboard без school finance; provider/request разрешены только Director/system_admin.</x:v>
      </x:c>
      <x:c r="I7" s="9" t="str">
        <x:v>Manager Overview и Analytics содержат занятия/воронку/задачи, но не debt/revenue/expected payments.</x:v>
      </x:c>
      <x:c r="J7" s="9" t="str">
        <x:v>Frontend добавлял school-finance cards для Manager, а backend выполнял finance SQL независимо от capability.</x:v>
      </x:c>
      <x:c r="K7" s="9" t="str">
        <x:v>6f5bffb</x:v>
      </x:c>
      <x:c r="L7" s="9" t="str">
        <x:v>RUN-R-008; RUN-R-009; RUN-R-010</x:v>
      </x:c>
      <x:c r="M7" s="9" t="str">
        <x:v>evidence/postfix-manager-analytics.txt</x:v>
      </x:c>
      <x:c r="N7" s="9" t="str">
        <x:v>Codex</x:v>
      </x:c>
      <x:c r="O7" s="9" t="str">
        <x:v>Закрыты одновременно UI, SQL и source URL projection.</x:v>
      </x:c>
    </x:row>
    <x:row r="8">
      <x:c r="A8" s="9" t="str">
        <x:v>ERR-007</x:v>
      </x:c>
      <x:c r="B8" s="9" t="str">
        <x:v>NAV-006</x:v>
      </x:c>
      <x:c r="C8" s="9" t="str">
        <x:v>App Experience</x:v>
      </x:c>
      <x:c r="D8" s="9" t="str">
        <x:v>UX</x:v>
      </x:c>
      <x:c r="E8" s="9" t="str">
        <x:v>HIGH</x:v>
      </x:c>
      <x:c r="F8" s="9" t="str">
        <x:v>RETEST PASS</x:v>
      </x:c>
      <x:c r="G8" s="9" t="str">
        <x:v>Финансовые KPI директора на Android нажимались, но никуда не вели</x:v>
      </x:c>
      <x:c r="H8" s="9" t="str">
        <x:v>KPI открывает доступную compact Analytics surface с теми же правами.</x:v>
      </x:c>
      <x:c r="I8" s="9" t="str">
        <x:v>Тап по Revenue открыл Analytics; school-finance export виден Director.</x:v>
      </x:c>
      <x:c r="J8" s="9" t="str">
        <x:v>Analytics tab/body были desktop-only, поэтому compact tab resolver возвращал текущую вкладку.</x:v>
      </x:c>
      <x:c r="K8" s="9" t="str">
        <x:v>6f5bffb</x:v>
      </x:c>
      <x:c r="L8" s="9" t="str">
        <x:v>RUN-R-011</x:v>
      </x:c>
      <x:c r="M8" s="9" t="str">
        <x:v>evidence/postfix-director-kpi-navigation.txt</x:v>
      </x:c>
      <x:c r="N8" s="9" t="str">
        <x:v>Codex</x:v>
      </x:c>
      <x:c r="O8" s="9" t="str">
        <x:v>Analytics также доступна через compact More.</x:v>
      </x:c>
    </x:row>
    <x:row r="9">
      <x:c r="A9" s="9" t="str">
        <x:v>ERR-008</x:v>
      </x:c>
      <x:c r="B9" s="9" t="str">
        <x:v>NAV-006</x:v>
      </x:c>
      <x:c r="C9" s="9" t="str">
        <x:v>App Experience</x:v>
      </x:c>
      <x:c r="D9" s="9" t="str">
        <x:v>UX</x:v>
      </x:c>
      <x:c r="E9" s="9" t="str">
        <x:v>LOW</x:v>
      </x:c>
      <x:c r="F9" s="9" t="str">
        <x:v>RETEST PASS</x:v>
      </x:c>
      <x:c r="G9" s="9" t="str">
        <x:v>Директору показывался заголовок «Сводка менеджера»</x:v>
      </x:c>
      <x:c r="H9" s="9" t="str">
        <x:v>Заголовок нейтрален или соответствует persona.</x:v>
      </x:c>
      <x:c r="I9" s="9" t="str">
        <x:v>Director и Manager видят нейтральный заголовок `Сводка`.</x:v>
      </x:c>
      <x:c r="J9" s="9" t="str">
        <x:v>Dashboard header содержал константную строку `Сводка менеджера`.</x:v>
      </x:c>
      <x:c r="K9" s="9" t="str">
        <x:v>6f5bffb</x:v>
      </x:c>
      <x:c r="L9" s="9" t="str">
        <x:v>RUN-R-011</x:v>
      </x:c>
      <x:c r="M9" s="9" t="str">
        <x:v>evidence/postfix-director-overview.txt</x:v>
      </x:c>
      <x:c r="N9" s="9" t="str">
        <x:v>Codex</x:v>
      </x:c>
      <x:c r="O9" s="9" t="str">
        <x:v>Ролевая иерархия больше не искажается текстом.</x:v>
      </x:c>
    </x:row>
    <x:row r="10">
      <x:c r="A10" s="9" t="str">
        <x:v>ERR-009</x:v>
      </x:c>
      <x:c r="B10" s="9" t="str">
        <x:v>CFG-025</x:v>
      </x:c>
      <x:c r="C10" s="9" t="str">
        <x:v>Configuration &amp; Operations</x:v>
      </x:c>
      <x:c r="D10" s="9" t="str">
        <x:v>UX</x:v>
      </x:c>
      <x:c r="E10" s="9" t="str">
        <x:v>MEDIUM</x:v>
      </x:c>
      <x:c r="F10" s="9" t="str">
        <x:v>RETEST PASS</x:v>
      </x:c>
      <x:c r="G10" s="9" t="str">
        <x:v>Список сотрудников показывал technical status и migration-email</x:v>
      </x:c>
      <x:c r="H10" s="9" t="str">
        <x:v>Business list локализует status и скрывает synthetic email у записи без аккаунта.</x:v>
      </x:c>
      <x:c r="I10" s="9" t="str">
        <x:v>Release 156 показывает `Работает`; migration email отсутствует даже при старом remote backend.</x:v>
      </x:c>
      <x:c r="J10" s="9" t="str">
        <x:v>Staff projection и list renderer не применяли уже существующее правило presentable email; `working` не имел human label.</x:v>
      </x:c>
      <x:c r="K10" s="9" t="str">
        <x:v>6f5bffb; a0d1a31</x:v>
      </x:c>
      <x:c r="L10" s="9" t="str">
        <x:v>RUN-R-012</x:v>
      </x:c>
      <x:c r="M10" s="9" t="str">
        <x:v>evidence/postfix-settings-staff-release156.txt</x:v>
      </x:c>
      <x:c r="N10" s="9" t="str">
        <x:v>Codex</x:v>
      </x:c>
      <x:c r="O10" s="9" t="str">
        <x:v>Backend и mixed-version client оба защищены.</x:v>
      </x:c>
    </x:row>
    <x:row r="11">
      <x:c r="A11" s="9" t="str">
        <x:v>ERR-010</x:v>
      </x:c>
      <x:c r="B11" s="9" t="str">
        <x:v>CFG-009</x:v>
      </x:c>
      <x:c r="C11" s="9" t="str">
        <x:v>Configuration &amp; Operations</x:v>
      </x:c>
      <x:c r="D11" s="9" t="str">
        <x:v>UX</x:v>
      </x:c>
      <x:c r="E11" s="9" t="str">
        <x:v>MEDIUM</x:v>
      </x:c>
      <x:c r="F11" s="9" t="str">
        <x:v>RETEST PASS</x:v>
      </x:c>
      <x:c r="G11" s="9" t="str">
        <x:v>Карточки учебных групп не показывали количество учеников</x:v>
      </x:c>
      <x:c r="H11" s="9" t="str">
        <x:v>Каждая группа показывает branch, teacher и актуальный Student count.</x:v>
      </x:c>
      <x:c r="I11" s="9" t="str">
        <x:v>Карточки показывают `Учеников: N`; backend считает active membership.</x:v>
      </x:c>
      <x:c r="J11" s="9" t="str">
        <x:v>Group list DTO/SQL и Flutter mapper не содержали membership count.</x:v>
      </x:c>
      <x:c r="K11" s="9" t="str">
        <x:v>6f5bffb</x:v>
      </x:c>
      <x:c r="L11" s="9" t="str">
        <x:v>RUN-R-013</x:v>
      </x:c>
      <x:c r="M11" s="9" t="str">
        <x:v>evidence/postfix-settings-groups.txt</x:v>
      </x:c>
      <x:c r="N11" s="9" t="str">
        <x:v>Codex</x:v>
      </x:c>
      <x:c r="O11" s="9" t="str">
        <x:v>При смешанной версии API клиент безопасно показывает 0 до server rollout.</x:v>
      </x:c>
    </x:row>
    <x:row r="12">
      <x:c r="A12" s="9" t="str">
        <x:v>ERR-011</x:v>
      </x:c>
      <x:c r="B12" s="9" t="str">
        <x:v>NAV-018</x:v>
      </x:c>
      <x:c r="C12" s="9" t="str">
        <x:v>App Experience</x:v>
      </x:c>
      <x:c r="D12" s="9" t="str">
        <x:v>ACCESSIBILITY</x:v>
      </x:c>
      <x:c r="E12" s="9" t="str">
        <x:v>MEDIUM</x:v>
      </x:c>
      <x:c r="F12" s="9" t="str">
        <x:v>RETEST PASS</x:v>
      </x:c>
      <x:c r="G12" s="9" t="str">
        <x:v>Поля поиска и переключатели настроек не имели accessibility-меток</x:v>
      </x:c>
      <x:c r="H12" s="9" t="str">
        <x:v>Каждый search/input/switch имеет понятный semantic label и state.</x:v>
      </x:c>
      <x:c r="I12" s="9" t="str">
        <x:v>Android tree показывает `Понедельник: выключено`; Flutter semantics tests подтверждают подписанные search controls.</x:v>
      </x:c>
      <x:c r="J12" s="9" t="str">
        <x:v>Settings fields использовали placeholder вместо persistent label, weekday switches не имели Semantics label/toggled state.</x:v>
      </x:c>
      <x:c r="K12" s="9" t="str">
        <x:v>6f5bffb</x:v>
      </x:c>
      <x:c r="L12" s="9" t="str">
        <x:v>RUN-R-014</x:v>
      </x:c>
      <x:c r="M12" s="9" t="str">
        <x:v>evidence/postfix-settings-schedule.txt</x:v>
      </x:c>
      <x:c r="N12" s="9" t="str">
        <x:v>Codex</x:v>
      </x:c>
      <x:c r="O12" s="9" t="str">
        <x:v>Исправлено в общих settings widgets.</x:v>
      </x:c>
    </x:row>
  </x:sheetData>
  <x:conditionalFormatting sqref="F2:F300">
    <x:cfRule type="expression" dxfId="7" priority="1">
      <x:formula>$F2="OPEN"</x:formula>
    </x:cfRule>
    <x:cfRule type="expression" dxfId="8" priority="2">
      <x:formula>$F2="RETEST PASS"</x:formula>
    </x:cfRule>
  </x:conditionalFormatting>
  <x:dataValidations count="4">
    <x:dataValidation type="list" sqref="C2:C300">
      <x:formula1>"Session &amp; Account,App Experience,Messenger,CRM Clients,Client Portal,Schedule,Commerce,Shared Tasks,Dashboard &amp; Analytics,Configuration &amp; Operations,Platform Quality"</x:formula1>
    </x:dataValidation>
    <x:dataValidation type="list" sqref="D2:D300">
      <x:formula1>"LOGIC,UX,AUTH,RBAC,DATA,PERFORMANCE,ACCESSIBILITY,PLATFORM"</x:formula1>
    </x:dataValidation>
    <x:dataValidation type="list" sqref="E2:E300">
      <x:formula1>"CRITICAL,HIGH,MEDIUM,LOW"</x:formula1>
    </x:dataValidation>
    <x:dataValidation type="list" sqref="F2:F300">
      <x:formula1>"OPEN,TRIAGED,FIXING,FIXED,RETEST PASS,REOPENED,WONT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aa5adb395a47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5" t="str">
        <x:v>Implementation Status</x:v>
      </x:c>
      <x:c r="B1" s="5" t="str">
        <x:v>Test Status</x:v>
      </x:c>
      <x:c r="C1" s="5" t="str">
        <x:v>Priority</x:v>
      </x:c>
      <x:c r="D1" s="5" t="str">
        <x:v>Run Phase</x:v>
      </x:c>
      <x:c r="E1" s="5" t="str">
        <x:v>Run Result</x:v>
      </x:c>
      <x:c r="F1" s="5" t="str">
        <x:v>Error Status</x:v>
      </x:c>
    </x:row>
    <x:row r="2">
      <x:c r="A2" s="9" t="str">
        <x:v>CODE-BACKED</x:v>
      </x:c>
      <x:c r="B2" s="9" t="str">
        <x:v>NOT EXECUTED</x:v>
      </x:c>
      <x:c r="C2" s="9" t="str">
        <x:v>P0</x:v>
      </x:c>
      <x:c r="D2" s="9" t="str">
        <x:v>BASELINE</x:v>
      </x:c>
      <x:c r="E2" s="9" t="str">
        <x:v>PASS</x:v>
      </x:c>
      <x:c r="F2" s="9" t="str">
        <x:v>OPEN</x:v>
      </x:c>
    </x:row>
    <x:row r="3">
      <x:c r="A3" s="9" t="str">
        <x:v>PARTIAL</x:v>
      </x:c>
      <x:c r="B3" s="9" t="str">
        <x:v>IN PROGRESS</x:v>
      </x:c>
      <x:c r="C3" s="9" t="str">
        <x:v>P1</x:v>
      </x:c>
      <x:c r="D3" s="9" t="str">
        <x:v>RETEST</x:v>
      </x:c>
      <x:c r="E3" s="9" t="str">
        <x:v>FAIL</x:v>
      </x:c>
      <x:c r="F3" s="9" t="str">
        <x:v>TRIAGED</x:v>
      </x:c>
    </x:row>
    <x:row r="4">
      <x:c r="A4" s="9" t="str">
        <x:v>NOT FOUND</x:v>
      </x:c>
      <x:c r="B4" s="9" t="str">
        <x:v>PASS</x:v>
      </x:c>
      <x:c r="C4" s="9" t="str">
        <x:v>P2</x:v>
      </x:c>
      <x:c r="D4" s="9" t="str">
        <x:v>REGRESSION</x:v>
      </x:c>
      <x:c r="E4" s="9" t="str">
        <x:v>BLOCKED</x:v>
      </x:c>
      <x:c r="F4" s="9" t="str">
        <x:v>FIXING</x:v>
      </x:c>
    </x:row>
    <x:row r="5">
      <x:c r="A5" s="9" t="str">
        <x:v>DEPRECATED</x:v>
      </x:c>
      <x:c r="B5" s="9" t="str">
        <x:v>FAIL</x:v>
      </x:c>
      <x:c r="C5" s="9" t="str">
        <x:v>P3</x:v>
      </x:c>
      <x:c r="D5" s="9" t="str"/>
      <x:c r="E5" s="9" t="str"/>
      <x:c r="F5" s="9" t="str">
        <x:v>FIXED</x:v>
      </x:c>
    </x:row>
    <x:row r="6">
      <x:c r="A6" s="9" t="str"/>
      <x:c r="B6" s="9" t="str">
        <x:v>BLOCKED</x:v>
      </x:c>
      <x:c r="C6" s="9" t="str"/>
      <x:c r="D6" s="9" t="str"/>
      <x:c r="E6" s="9" t="str"/>
      <x:c r="F6" s="9" t="str">
        <x:v>RETEST PASS</x:v>
      </x:c>
    </x:row>
    <x:row r="7">
      <x:c r="A7" s="9" t="str"/>
      <x:c r="B7" s="9" t="str">
        <x:v>RETEST PASS</x:v>
      </x:c>
      <x:c r="C7" s="9" t="str"/>
      <x:c r="D7" s="9" t="str"/>
      <x:c r="E7" s="9" t="str"/>
      <x:c r="F7" s="9" t="str">
        <x:v>REOPENED</x:v>
      </x:c>
    </x:row>
    <x:row r="8">
      <x:c r="A8" s="9" t="str"/>
      <x:c r="B8" s="9" t="str">
        <x:v>RETEST FAIL</x:v>
      </x:c>
      <x:c r="C8" s="9" t="str"/>
      <x:c r="D8" s="9" t="str"/>
      <x:c r="E8" s="9" t="str"/>
      <x:c r="F8" s="9" t="str">
        <x:v>WONT FIX</x:v>
      </x:c>
    </x:row>
    <x:row r="9">
      <x:c r="A9" s="9" t="str"/>
      <x:c r="B9" s="9" t="str"/>
      <x:c r="C9" s="9" t="str"/>
      <x:c r="D9" s="9" t="str"/>
      <x:c r="E9" s="9" t="str"/>
      <x:c r="F9" s="9" t="str"/>
    </x:row>
    <x:row r="10">
      <x:c r="A10" s="11" t="str">
        <x:v>Source Coverage</x:v>
      </x:c>
      <x:c r="B10" s="11" t="str">
        <x:v>Value</x:v>
      </x:c>
      <x:c r="C10" s="9" t="str"/>
      <x:c r="D10" s="9" t="str"/>
      <x:c r="E10" s="9" t="str"/>
      <x:c r="F10" s="9" t="str"/>
    </x:row>
    <x:row r="11">
      <x:c r="A11" s="9" t="str">
        <x:v>Production routes / screens</x:v>
      </x:c>
      <x:c r="B11" s="9" t="str">
        <x:v>22 / 22</x:v>
      </x:c>
      <x:c r="C11" s="9" t="str"/>
      <x:c r="D11" s="9" t="str"/>
      <x:c r="E11" s="9" t="str"/>
      <x:c r="F11" s="9" t="str"/>
    </x:row>
    <x:row r="12">
      <x:c r="A12" s="9" t="str">
        <x:v>Surfaces / navigation / wire / unowned</x:v>
      </x:c>
      <x:c r="B12" s="9" t="str">
        <x:v>93 / 263 / 264 / 0</x:v>
      </x:c>
      <x:c r="C12" s="9" t="str"/>
      <x:c r="D12" s="9" t="str"/>
      <x:c r="E12" s="9" t="str"/>
      <x:c r="F12" s="9" t="str"/>
    </x:row>
    <x:row r="13">
      <x:c r="A13" s="9" t="str">
        <x:v>Final candidate</x:v>
      </x:c>
      <x:c r="B13" s="9" t="str">
        <x:v>1.2.3+156</x:v>
      </x:c>
      <x:c r="C13" s="9" t="str"/>
      <x:c r="D13" s="9" t="str"/>
      <x:c r="E13" s="9" t="str"/>
      <x:c r="F13" s="9" t="str"/>
    </x:row>
    <x:row r="14">
      <x:c r="A14" s="9" t="str">
        <x:v>Flutter / backend tests</x:v>
      </x:c>
      <x:c r="B14" s="9" t="str">
        <x:v>615 / 615 · 1159 / 1159</x:v>
      </x:c>
      <x:c r="C14" s="9" t="str"/>
      <x:c r="D14" s="9" t="str"/>
      <x:c r="E14" s="9" t="str"/>
      <x:c r="F14" s="9" t="str"/>
    </x:row>
    <x:row r="15">
      <x:c r="A15" s="9" t="str">
        <x:v>Android SHA-256</x:v>
      </x:c>
      <x:c r="B15" s="9" t="str">
        <x:v>36BE9B929C17D4E4E232667B9537F214272FF1B8F78BECBA8884ED17FC4EEE7A</x:v>
      </x:c>
      <x:c r="C15" s="9" t="str"/>
      <x:c r="D15" s="9" t="str"/>
      <x:c r="E15" s="9" t="str"/>
      <x:c r="F15" s="9" t="str"/>
    </x:row>
    <x:row r="16">
      <x:c r="A16" s="9" t="str">
        <x:v>Windows SHA-256</x:v>
      </x:c>
      <x:c r="B16" s="9" t="str">
        <x:v>14D8E76916621176EAD7B7B2E32C73EE836103AF73EEBE1D56D8488E4A23E86C</x:v>
      </x:c>
      <x:c r="C16" s="9" t="str"/>
      <x:c r="D16" s="9" t="str"/>
      <x:c r="E16" s="9" t="str"/>
      <x:c r="F16" s="9" t="str"/>
    </x:row>
  </x:sheetData>
  <x:pageMargins left="0.7" right="0.7" top="0.75" bottom="0.75" header="0.3" footer="0.3"/>
</x:worksheet>
</file>